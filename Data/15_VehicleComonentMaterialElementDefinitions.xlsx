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46B3758E-616E-104F-B6A7-B96958F534EF}" xr6:coauthVersionLast="47" xr6:coauthVersionMax="47" xr10:uidLastSave="{00000000-0000-0000-0000-000000000000}"/>
  <bookViews>
    <workbookView xWindow="14840" yWindow="9120" windowWidth="49820" windowHeight="27380" firstSheet="5" activeTab="14" xr2:uid="{3FA4E242-D5DB-E244-9E80-D2E1BB7FF665}"/>
  </bookViews>
  <sheets>
    <sheet name="castAlAlloys1" sheetId="18" r:id="rId1"/>
    <sheet name="castAlAlloys2Low" sheetId="22" r:id="rId2"/>
    <sheet name="castAlAlloys2High" sheetId="23" r:id="rId3"/>
    <sheet name="Wrought1000sLow" sheetId="1" r:id="rId4"/>
    <sheet name="Wrought1000sHigh" sheetId="2" r:id="rId5"/>
    <sheet name="Wrought2000sLow" sheetId="3" r:id="rId6"/>
    <sheet name="Wrought2000sHigh" sheetId="4" r:id="rId7"/>
    <sheet name="Wrought3000sLow" sheetId="5" r:id="rId8"/>
    <sheet name="Wrought3000sHigh" sheetId="6" r:id="rId9"/>
    <sheet name="Wrought4000sLow" sheetId="7" r:id="rId10"/>
    <sheet name="Wrought4000sHigh" sheetId="8" r:id="rId11"/>
    <sheet name="Wrought5000sLow" sheetId="9" r:id="rId12"/>
    <sheet name="Wrought5000sHigh" sheetId="10" r:id="rId13"/>
    <sheet name="Wrought6000sLow" sheetId="11" r:id="rId14"/>
    <sheet name="Wrought6000sHigh" sheetId="12" r:id="rId15"/>
    <sheet name="Wrought7000sLow" sheetId="13" r:id="rId16"/>
    <sheet name="Wrought7000sHigh" sheetId="14" r:id="rId17"/>
    <sheet name="AlSiCuDefinition" sheetId="21" r:id="rId18"/>
    <sheet name="AlSiMgDefinition" sheetId="16" r:id="rId19"/>
    <sheet name="Al_5xxxAlDefinition" sheetId="19" r:id="rId20"/>
    <sheet name="Al_6xxxAlDefinition" sheetId="24" r:id="rId21"/>
    <sheet name="Al_7xxxAlDefinition" sheetId="20" r:id="rId22"/>
    <sheet name="castIron_wrong" sheetId="17" r:id="rId23"/>
    <sheet name="castIron" sheetId="25" r:id="rId24"/>
    <sheet name="castIronDefinition" sheetId="26" r:id="rId25"/>
    <sheet name="mildSteel" sheetId="27" r:id="rId26"/>
    <sheet name="mildSteelDefinition" sheetId="28" r:id="rId27"/>
    <sheet name="HSSteel" sheetId="29" r:id="rId28"/>
    <sheet name="HSSteelDefinition" sheetId="30" r:id="rId29"/>
    <sheet name="UHSSteel" sheetId="31" r:id="rId30"/>
    <sheet name="UHSSteelDefinition" sheetId="32" r:id="rId31"/>
    <sheet name="AHSSteel" sheetId="33" r:id="rId32"/>
    <sheet name="AHSSteelDefinition" sheetId="34" r:id="rId33"/>
    <sheet name="magnesiumAlloys" sheetId="45" r:id="rId34"/>
    <sheet name="magnesiumDefinition" sheetId="46" r:id="rId35"/>
    <sheet name="ElectronicsPCB" sheetId="35" r:id="rId36"/>
    <sheet name="PCBsLightsDefinition" sheetId="36" r:id="rId37"/>
    <sheet name="PCBsActuatorsDefinition" sheetId="37" r:id="rId38"/>
    <sheet name="PCBsControllersDefinition" sheetId="38" r:id="rId39"/>
    <sheet name="PCBsPowerelectronicsDefinition" sheetId="39" r:id="rId40"/>
    <sheet name="Cable" sheetId="40" r:id="rId41"/>
    <sheet name="CableInsulatedDefinition" sheetId="41" r:id="rId42"/>
    <sheet name="CableEngineDefinition" sheetId="42" r:id="rId43"/>
    <sheet name="PermanentMagnet" sheetId="43" r:id="rId44"/>
    <sheet name="PermanentMagnetDefinition" sheetId="44" r:id="rId45"/>
  </sheets>
  <definedNames>
    <definedName name="_xlnm._FilterDatabase" localSheetId="1" hidden="1">castAlAlloys2Low!$A$1:$R$1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6" l="1"/>
  <c r="B8" i="16"/>
  <c r="B7" i="16"/>
  <c r="B6" i="16"/>
  <c r="B5" i="16"/>
  <c r="B4" i="16"/>
  <c r="B3" i="16"/>
  <c r="B2" i="16"/>
  <c r="B10" i="21"/>
  <c r="B9" i="21"/>
  <c r="B8" i="21"/>
  <c r="B7" i="21"/>
  <c r="B6" i="21"/>
  <c r="B5" i="21"/>
  <c r="B4" i="21"/>
  <c r="B3" i="21"/>
  <c r="B2" i="21"/>
  <c r="B6" i="20"/>
  <c r="B5" i="20"/>
  <c r="B4" i="20"/>
  <c r="B3" i="20"/>
  <c r="B2" i="20"/>
  <c r="B12" i="24"/>
  <c r="B11" i="24"/>
  <c r="B10" i="24"/>
  <c r="B9" i="24"/>
  <c r="B8" i="24"/>
  <c r="B7" i="24"/>
  <c r="B6" i="24"/>
  <c r="B5" i="24"/>
  <c r="B4" i="24"/>
  <c r="B3" i="24"/>
  <c r="B2" i="24"/>
  <c r="B8" i="19"/>
  <c r="B7" i="19"/>
  <c r="B6" i="19"/>
  <c r="B5" i="19"/>
  <c r="B4" i="19"/>
  <c r="B3" i="19"/>
  <c r="B2" i="19"/>
  <c r="B3" i="34"/>
  <c r="B4" i="34"/>
  <c r="B2" i="34"/>
  <c r="B3" i="32"/>
  <c r="B4" i="32"/>
  <c r="B5" i="32"/>
  <c r="B6" i="32"/>
  <c r="B7" i="32"/>
  <c r="B2" i="32"/>
  <c r="B3" i="30"/>
  <c r="B4" i="30"/>
  <c r="B5" i="30"/>
  <c r="B6" i="30"/>
  <c r="B7" i="30"/>
  <c r="B8" i="30"/>
  <c r="B9" i="30"/>
  <c r="B2" i="30"/>
  <c r="B3" i="28"/>
  <c r="B4" i="28"/>
  <c r="B5" i="28"/>
  <c r="B6" i="28"/>
  <c r="B7" i="28"/>
  <c r="B8" i="28"/>
  <c r="B2" i="28"/>
  <c r="B3" i="26" l="1"/>
  <c r="B4" i="26"/>
  <c r="B5" i="26"/>
  <c r="B6" i="26"/>
  <c r="B7" i="26"/>
  <c r="B8" i="26"/>
  <c r="B2" i="26"/>
  <c r="D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</calcChain>
</file>

<file path=xl/sharedStrings.xml><?xml version="1.0" encoding="utf-8"?>
<sst xmlns="http://schemas.openxmlformats.org/spreadsheetml/2006/main" count="1352" uniqueCount="399">
  <si>
    <t>Numerisch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</si>
  <si>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</si>
  <si>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</si>
  <si>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</si>
  <si>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</si>
  <si>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</si>
  <si>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</si>
  <si>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</si>
  <si>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</si>
  <si>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</si>
  <si>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Ga</t>
  </si>
  <si>
    <t>V</t>
  </si>
  <si>
    <t>EN AW-1050A</t>
  </si>
  <si>
    <t>EN AW-1060</t>
  </si>
  <si>
    <t>EN AW-1070A</t>
  </si>
  <si>
    <t>EN AW-1080A</t>
  </si>
  <si>
    <t>EN AW-1085</t>
  </si>
  <si>
    <t>EN AW-1090</t>
  </si>
  <si>
    <t>EN AW-1098</t>
  </si>
  <si>
    <t>EN AW-1100</t>
  </si>
  <si>
    <t>EN AW-1110</t>
  </si>
  <si>
    <t>EN AW-1198</t>
  </si>
  <si>
    <t>EN AW-1199</t>
  </si>
  <si>
    <t>EN AW-1200</t>
  </si>
  <si>
    <t>EN AW-1200A</t>
  </si>
  <si>
    <t>EN AW-1235</t>
  </si>
  <si>
    <t>EN AW-1350</t>
  </si>
  <si>
    <t>EN AW-1350A</t>
  </si>
  <si>
    <t>EN AW-1370</t>
  </si>
  <si>
    <t>EN AW-1450</t>
  </si>
  <si>
    <t>EN AW-2001</t>
  </si>
  <si>
    <t>EN AW-2007</t>
  </si>
  <si>
    <t>EN AW-2011</t>
  </si>
  <si>
    <t>EN AW-2011A</t>
  </si>
  <si>
    <t>EN AW-2014</t>
  </si>
  <si>
    <t>EN AW-2014A</t>
  </si>
  <si>
    <t>EN AW-2017A</t>
  </si>
  <si>
    <t>EN AW-2024</t>
  </si>
  <si>
    <t>EN AW-2030</t>
  </si>
  <si>
    <t>EN AW-2031</t>
  </si>
  <si>
    <t>EN AW-2091</t>
  </si>
  <si>
    <t>EN AW-2117</t>
  </si>
  <si>
    <t>EN AW-2124</t>
  </si>
  <si>
    <t>EN AW-2214</t>
  </si>
  <si>
    <t>EN AW-2219</t>
  </si>
  <si>
    <t>EN AW-2319</t>
  </si>
  <si>
    <t>EN AW-2618A</t>
  </si>
  <si>
    <t>EN AW-3002</t>
  </si>
  <si>
    <t>EN AW-3003</t>
  </si>
  <si>
    <t>EN AW-3004</t>
  </si>
  <si>
    <t>EN AW-3005</t>
  </si>
  <si>
    <t>EN AW-3005A</t>
  </si>
  <si>
    <t>EN AW-3017</t>
  </si>
  <si>
    <t>EN AW-3102</t>
  </si>
  <si>
    <t>EN AW-3103</t>
  </si>
  <si>
    <t>EN AW-3103A</t>
  </si>
  <si>
    <t>EN AW-3104</t>
  </si>
  <si>
    <t>EN AW-3105</t>
  </si>
  <si>
    <t>EN AW-3105A</t>
  </si>
  <si>
    <t>EN AW-3105B</t>
  </si>
  <si>
    <t>EN AW-3207</t>
  </si>
  <si>
    <t>EN AW-3207A</t>
  </si>
  <si>
    <t>EN AW-4004</t>
  </si>
  <si>
    <t>EN AW-4006</t>
  </si>
  <si>
    <t>EN AW-4007</t>
  </si>
  <si>
    <t>EN AW-4015</t>
  </si>
  <si>
    <t>EN AW-4016</t>
  </si>
  <si>
    <t>EN AW-4017</t>
  </si>
  <si>
    <t>EN AW-4018</t>
  </si>
  <si>
    <t>EN AW-4032</t>
  </si>
  <si>
    <t>EN AW-4043A</t>
  </si>
  <si>
    <t>EN AW-4045</t>
  </si>
  <si>
    <t>EN AW-4046</t>
  </si>
  <si>
    <t>EN AW-4047A</t>
  </si>
  <si>
    <t>EN AW-4104</t>
  </si>
  <si>
    <t>EN AW-4115</t>
  </si>
  <si>
    <t>EN AW-4343</t>
  </si>
  <si>
    <t>EN AW-5005</t>
  </si>
  <si>
    <t>EN AW-5005A</t>
  </si>
  <si>
    <t>EN AW-5006</t>
  </si>
  <si>
    <t>EN AW-5010</t>
  </si>
  <si>
    <t>EN AW-5018</t>
  </si>
  <si>
    <t>EN AW-5019</t>
  </si>
  <si>
    <t>EN AW-5026</t>
  </si>
  <si>
    <t>EN AW-5040</t>
  </si>
  <si>
    <t>EN AW-5042</t>
  </si>
  <si>
    <t>EN AW-5049</t>
  </si>
  <si>
    <t>EN AW-5050</t>
  </si>
  <si>
    <t>EN AW-5050A</t>
  </si>
  <si>
    <t>EN AW-5051A</t>
  </si>
  <si>
    <t>EN AW-5052</t>
  </si>
  <si>
    <t>EN AW-5058</t>
  </si>
  <si>
    <t>EN AW-5059</t>
  </si>
  <si>
    <t>EN AW-5070</t>
  </si>
  <si>
    <t>EN AW-5082</t>
  </si>
  <si>
    <t>EN AW-5083</t>
  </si>
  <si>
    <t>EN AW-5086</t>
  </si>
  <si>
    <t>EN AW-5087</t>
  </si>
  <si>
    <t>EN AW-5088</t>
  </si>
  <si>
    <t>EN AW-5110</t>
  </si>
  <si>
    <t>EN AW-5119</t>
  </si>
  <si>
    <t>EN AW-5119A</t>
  </si>
  <si>
    <t>EN AW-5149</t>
  </si>
  <si>
    <t>EN AW-5154A</t>
  </si>
  <si>
    <t>EN AW-5154B</t>
  </si>
  <si>
    <t>EN AW-5182</t>
  </si>
  <si>
    <t>EN AW-5183</t>
  </si>
  <si>
    <t>EN AW-5183A</t>
  </si>
  <si>
    <t>EN AW-5186</t>
  </si>
  <si>
    <t>EN AW-5187</t>
  </si>
  <si>
    <t>EN AW-5210</t>
  </si>
  <si>
    <t>EN AW-5249</t>
  </si>
  <si>
    <t>EN AW-5251</t>
  </si>
  <si>
    <t>EN AW-5252</t>
  </si>
  <si>
    <t>EN AW-5283A</t>
  </si>
  <si>
    <t>EN AW-5305</t>
  </si>
  <si>
    <t>EN AW-5310</t>
  </si>
  <si>
    <t>EN AW-5352</t>
  </si>
  <si>
    <t>EN AW-5354</t>
  </si>
  <si>
    <t>EN AW-5356</t>
  </si>
  <si>
    <t>EN AW-5356A</t>
  </si>
  <si>
    <t>EN AW-5383</t>
  </si>
  <si>
    <t>EN AW-5449</t>
  </si>
  <si>
    <t>EN AW-5449A</t>
  </si>
  <si>
    <t>EN AW-5454</t>
  </si>
  <si>
    <t>EN AW-5456</t>
  </si>
  <si>
    <t>EN AW-5456A</t>
  </si>
  <si>
    <t>EN AW-5456B</t>
  </si>
  <si>
    <t>EN AW-5505</t>
  </si>
  <si>
    <t>EN AW-5554</t>
  </si>
  <si>
    <t>EN AW-5556A</t>
  </si>
  <si>
    <t>EN AW-5556B</t>
  </si>
  <si>
    <t>EN AW-5605</t>
  </si>
  <si>
    <t>EN AW-5654</t>
  </si>
  <si>
    <t>EN AW-5654A</t>
  </si>
  <si>
    <t>EN AW-5657</t>
  </si>
  <si>
    <t>EN AW-5754</t>
  </si>
  <si>
    <t>EN AW-6003</t>
  </si>
  <si>
    <t>EN AW-6005</t>
  </si>
  <si>
    <t>EN AW-6005A</t>
  </si>
  <si>
    <t>EN AW-6005B</t>
  </si>
  <si>
    <t>EN AW-6008</t>
  </si>
  <si>
    <t>EN AW-6011</t>
  </si>
  <si>
    <t>EN AW-6012</t>
  </si>
  <si>
    <t>EN AW 6012A</t>
  </si>
  <si>
    <t>EN AW-6013</t>
  </si>
  <si>
    <t>EN AW-6014</t>
  </si>
  <si>
    <t>EN AW-6015</t>
  </si>
  <si>
    <t>EN AW-6016</t>
  </si>
  <si>
    <t>EN AW-6018</t>
  </si>
  <si>
    <t>EN AW-6023</t>
  </si>
  <si>
    <t>EN AW-6025</t>
  </si>
  <si>
    <t>EN AW-6026</t>
  </si>
  <si>
    <t>EN AW-6056</t>
  </si>
  <si>
    <t>EN AW-6060</t>
  </si>
  <si>
    <t>EN AW-6061</t>
  </si>
  <si>
    <t>EN AW-6061A</t>
  </si>
  <si>
    <t>EN AW-6063</t>
  </si>
  <si>
    <t>EN AW-6063A</t>
  </si>
  <si>
    <t>EN AW-6064A</t>
  </si>
  <si>
    <t>EN AW-6065</t>
  </si>
  <si>
    <t>EN AW-6081</t>
  </si>
  <si>
    <t>EN AW-6082</t>
  </si>
  <si>
    <t>EN AW-6082A</t>
  </si>
  <si>
    <t>EN AW-6101</t>
  </si>
  <si>
    <t>EN AW-6101A</t>
  </si>
  <si>
    <t>EN AW-6101B</t>
  </si>
  <si>
    <t>EN AW-6106</t>
  </si>
  <si>
    <t>EN AW-6110A</t>
  </si>
  <si>
    <t>EN AW-6181</t>
  </si>
  <si>
    <t>EN AW-6182</t>
  </si>
  <si>
    <t>EN AW-6201</t>
  </si>
  <si>
    <t>EN AW-6261</t>
  </si>
  <si>
    <t>EN AW-6262</t>
  </si>
  <si>
    <t>EN AW-6262A</t>
  </si>
  <si>
    <t>EN AW-6351</t>
  </si>
  <si>
    <t>EN AW-6351A</t>
  </si>
  <si>
    <t>EN AW-6360</t>
  </si>
  <si>
    <t>EN AW-6401</t>
  </si>
  <si>
    <t>EN AW-6463</t>
  </si>
  <si>
    <t>EN AW-6951</t>
  </si>
  <si>
    <t>EN AW-7003</t>
  </si>
  <si>
    <t>EN AW-7005</t>
  </si>
  <si>
    <t>EN AW-7009</t>
  </si>
  <si>
    <t>EN AW-7010</t>
  </si>
  <si>
    <t>EN AW-7012</t>
  </si>
  <si>
    <t>EN AW-7015</t>
  </si>
  <si>
    <t>EN AW-7016</t>
  </si>
  <si>
    <t>EN AW-7019</t>
  </si>
  <si>
    <t>EN AW-7020</t>
  </si>
  <si>
    <t>EN AW-7021</t>
  </si>
  <si>
    <t>EN AW-7022</t>
  </si>
  <si>
    <t>EN AW-7026</t>
  </si>
  <si>
    <t>EN AW-7029</t>
  </si>
  <si>
    <t>EN AW-7030</t>
  </si>
  <si>
    <t>EN AW-7039</t>
  </si>
  <si>
    <t>EN AW-7049A</t>
  </si>
  <si>
    <t>EN AW-7050</t>
  </si>
  <si>
    <t>EN AW-7060</t>
  </si>
  <si>
    <t>EN AW-7072</t>
  </si>
  <si>
    <t>EN AW-7075</t>
  </si>
  <si>
    <t>EN AW-7108</t>
  </si>
  <si>
    <t>EN AW-7108A</t>
  </si>
  <si>
    <t>EN AW-7116</t>
  </si>
  <si>
    <t>EN AW-7129</t>
  </si>
  <si>
    <t>EN AW-7149</t>
  </si>
  <si>
    <t>EN AW-7150</t>
  </si>
  <si>
    <t>EN AW-7175</t>
  </si>
  <si>
    <t>EN AW-7178</t>
  </si>
  <si>
    <t>EN AW-7475</t>
  </si>
  <si>
    <t>EN AW-2014B</t>
  </si>
  <si>
    <t>EN AW-2024A</t>
  </si>
  <si>
    <t>AlAlloy46200</t>
  </si>
  <si>
    <t>Sn</t>
  </si>
  <si>
    <t>Pb</t>
  </si>
  <si>
    <t>AlAlloy42000</t>
  </si>
  <si>
    <t>AlAlloy43100</t>
  </si>
  <si>
    <t>AlAlloy357</t>
  </si>
  <si>
    <t>AlAlloy356</t>
  </si>
  <si>
    <t>AlAlloy319</t>
  </si>
  <si>
    <t>AlAlloy45000</t>
  </si>
  <si>
    <t>AlAlloy48000</t>
  </si>
  <si>
    <t>Percentage</t>
  </si>
  <si>
    <t>Alloy</t>
  </si>
  <si>
    <t>Content</t>
  </si>
  <si>
    <t>Element</t>
  </si>
  <si>
    <t>GGG60</t>
  </si>
  <si>
    <t>P</t>
  </si>
  <si>
    <t>S</t>
  </si>
  <si>
    <t>C</t>
  </si>
  <si>
    <t>GGG40</t>
  </si>
  <si>
    <t>GG25</t>
  </si>
  <si>
    <t>GG15</t>
  </si>
  <si>
    <t>GG10</t>
  </si>
  <si>
    <t>GG20</t>
  </si>
  <si>
    <t>GG30</t>
  </si>
  <si>
    <t>Fraction</t>
  </si>
  <si>
    <t>Description</t>
  </si>
  <si>
    <t>Al</t>
  </si>
  <si>
    <t>AlCu</t>
  </si>
  <si>
    <t>EN AC-21000</t>
  </si>
  <si>
    <t>EN AC-21100</t>
  </si>
  <si>
    <t>AlSiMgTi</t>
  </si>
  <si>
    <t>EN AC-41000i</t>
  </si>
  <si>
    <t>AlSi7Mg</t>
  </si>
  <si>
    <t>EN AC-42000i</t>
  </si>
  <si>
    <t>EN AC-42100i</t>
  </si>
  <si>
    <t>EN AC-42200i</t>
  </si>
  <si>
    <t>EN AC-42300i</t>
  </si>
  <si>
    <t>EN AC-42400i</t>
  </si>
  <si>
    <t>AlSi10Mg</t>
  </si>
  <si>
    <t>EN AC-43000i</t>
  </si>
  <si>
    <t>EN AC-43200</t>
  </si>
  <si>
    <t>EN AC-43300i</t>
  </si>
  <si>
    <t>EN AC-43400i</t>
  </si>
  <si>
    <t>EN AC-43500i</t>
  </si>
  <si>
    <t>AlSi</t>
  </si>
  <si>
    <t>EN AC-44000i</t>
  </si>
  <si>
    <t>EN AC-44100i</t>
  </si>
  <si>
    <t>EN AC-44200i</t>
  </si>
  <si>
    <t>EN AC-44300i</t>
  </si>
  <si>
    <t>EN AC-44400i</t>
  </si>
  <si>
    <t>EN AC-44500i</t>
  </si>
  <si>
    <t>EN AC-44600i</t>
  </si>
  <si>
    <t>AlSi5Cu</t>
  </si>
  <si>
    <t>EN AC-45000</t>
  </si>
  <si>
    <t>EN AC-45100</t>
  </si>
  <si>
    <t>EN AC-45300</t>
  </si>
  <si>
    <t>EN AC-45400</t>
  </si>
  <si>
    <t>EN AC-45500</t>
  </si>
  <si>
    <t>EN AC-45600</t>
  </si>
  <si>
    <t>AlSi9Cu</t>
  </si>
  <si>
    <t>EN AC-46000</t>
  </si>
  <si>
    <t>EN AC-46100</t>
  </si>
  <si>
    <t>EN AC-46200</t>
  </si>
  <si>
    <t>EN AC-46300</t>
  </si>
  <si>
    <t>EN AC-46400</t>
  </si>
  <si>
    <t>EN AC-46500</t>
  </si>
  <si>
    <t>EN AC-46600</t>
  </si>
  <si>
    <t>AlSi(Cu)</t>
  </si>
  <si>
    <t>EN AC-47000</t>
  </si>
  <si>
    <t>EN AC-47100</t>
  </si>
  <si>
    <t>EN AC-47200l</t>
  </si>
  <si>
    <t>AlSiCuMg</t>
  </si>
  <si>
    <t>EN AC-48000</t>
  </si>
  <si>
    <t>EN AC-48100</t>
  </si>
  <si>
    <t>EN AC-48200</t>
  </si>
  <si>
    <t>AlMg</t>
  </si>
  <si>
    <t>EN AC-51100i</t>
  </si>
  <si>
    <t>EN AC-51200i</t>
  </si>
  <si>
    <t>EN AC-51300i</t>
  </si>
  <si>
    <t>EN AC-51400i</t>
  </si>
  <si>
    <t>EN AC-51500i</t>
  </si>
  <si>
    <t>AlZnSiMg</t>
  </si>
  <si>
    <t>EN AC-71100</t>
  </si>
  <si>
    <t>AlloyGroup</t>
  </si>
  <si>
    <t>N</t>
  </si>
  <si>
    <t>Al2</t>
  </si>
  <si>
    <t>N2</t>
  </si>
  <si>
    <t>AlMg4Fe2</t>
  </si>
  <si>
    <t>Castaduct-42</t>
  </si>
  <si>
    <t>AlSi9MnMoZr</t>
  </si>
  <si>
    <t>Castasil-37</t>
  </si>
  <si>
    <t>Mo</t>
  </si>
  <si>
    <t>Zr</t>
  </si>
  <si>
    <t>Sr</t>
  </si>
  <si>
    <t>AlSi9Sr-E</t>
  </si>
  <si>
    <t>Castasil-21</t>
  </si>
  <si>
    <t>Ma-59</t>
  </si>
  <si>
    <t>Magsimal-59</t>
  </si>
  <si>
    <t>Magsimal-plus</t>
  </si>
  <si>
    <t>Ma-plusAlMg6Si2MnZr</t>
  </si>
  <si>
    <t>AlMg6Si2MnZr</t>
  </si>
  <si>
    <t>AlSi9MnMgZn</t>
  </si>
  <si>
    <t>Silafont-38</t>
  </si>
  <si>
    <t>AlSi10MnMg</t>
  </si>
  <si>
    <t>Castaman -35</t>
  </si>
  <si>
    <t>high</t>
  </si>
  <si>
    <t>low</t>
  </si>
  <si>
    <t>castIron</t>
  </si>
  <si>
    <t>limits</t>
  </si>
  <si>
    <t>Alloys</t>
  </si>
  <si>
    <t>AISI 1008</t>
  </si>
  <si>
    <t>AISI 1010</t>
  </si>
  <si>
    <t>AISI 1015</t>
  </si>
  <si>
    <t>AISI 1018</t>
  </si>
  <si>
    <t>AISI 1020</t>
  </si>
  <si>
    <t>S275</t>
  </si>
  <si>
    <t>S355</t>
  </si>
  <si>
    <t>B</t>
  </si>
  <si>
    <t>Nb</t>
  </si>
  <si>
    <t>Docol HR 500LA</t>
  </si>
  <si>
    <t>Docol CR 780Y980T- CP</t>
  </si>
  <si>
    <t>Docol CR 900Y
1180T-CP</t>
  </si>
  <si>
    <t>mean</t>
  </si>
  <si>
    <t>Dual Phase</t>
  </si>
  <si>
    <t>RA-K 400Y690T</t>
  </si>
  <si>
    <t>Docol HR​550LA</t>
  </si>
  <si>
    <t>Docol CR DP-LCE</t>
  </si>
  <si>
    <t>700Y980T-</t>
  </si>
  <si>
    <t>Ductibor® 1000</t>
  </si>
  <si>
    <t>High Strength Low Alloy</t>
  </si>
  <si>
    <t>Cr_Mo</t>
  </si>
  <si>
    <t>Ti_Nb</t>
  </si>
  <si>
    <t>mildSteel</t>
  </si>
  <si>
    <t>HSSteel</t>
  </si>
  <si>
    <t>Docol PHS CR 1500</t>
  </si>
  <si>
    <t>Docol PHS CR 2000</t>
  </si>
  <si>
    <t>CR450Y780T-TR</t>
  </si>
  <si>
    <t>Docol CR</t>
  </si>
  <si>
    <t>440Y780T-DP</t>
  </si>
  <si>
    <t>CR780Y1180T-DH</t>
  </si>
  <si>
    <t>Press Hardened Steel</t>
  </si>
  <si>
    <t>Retained Austenite</t>
  </si>
  <si>
    <t>UHSSteel</t>
  </si>
  <si>
    <t>DP-K® 780Y1180T</t>
  </si>
  <si>
    <t>EN8</t>
  </si>
  <si>
    <t>Complex Phase</t>
  </si>
  <si>
    <t>DP-K® 900Y1180T</t>
  </si>
  <si>
    <t>High Formability Dual Pha</t>
  </si>
  <si>
    <t>AHSSteel</t>
  </si>
  <si>
    <t>Au</t>
  </si>
  <si>
    <t>Ag</t>
  </si>
  <si>
    <t>Pd</t>
  </si>
  <si>
    <t>EVA2</t>
  </si>
  <si>
    <t>PCBs actuators</t>
  </si>
  <si>
    <t>PCBs headlights</t>
  </si>
  <si>
    <t>PCBs controllers</t>
  </si>
  <si>
    <t>PCBs powerelectronics</t>
  </si>
  <si>
    <t>Estimates</t>
  </si>
  <si>
    <t>PCBsLights</t>
  </si>
  <si>
    <t>PCBsActuators</t>
  </si>
  <si>
    <t>PCBsControllers</t>
  </si>
  <si>
    <t>PCBsPowerelectronics</t>
  </si>
  <si>
    <t>PCBs electronicsrs</t>
  </si>
  <si>
    <t>Rest</t>
  </si>
  <si>
    <t>CableInsulated</t>
  </si>
  <si>
    <t>estimate</t>
  </si>
  <si>
    <t>CableEngine</t>
  </si>
  <si>
    <t>Nd</t>
  </si>
  <si>
    <t>Tb</t>
  </si>
  <si>
    <t>Co</t>
  </si>
  <si>
    <t>Pr</t>
  </si>
  <si>
    <t>NdFeB1</t>
  </si>
  <si>
    <t>Dy</t>
  </si>
  <si>
    <t>NdFeB2</t>
  </si>
  <si>
    <t>NdFeB3</t>
  </si>
  <si>
    <t>PermenentMagnets</t>
  </si>
  <si>
    <t>sPCB</t>
  </si>
  <si>
    <t>otherOrUndefinedElements</t>
  </si>
  <si>
    <t>otherOrUndefinedElements_</t>
  </si>
  <si>
    <t xml:space="preserve"> otherOrUndefinedElements_</t>
  </si>
  <si>
    <t>ASTM International, B07, 2008</t>
  </si>
  <si>
    <t>AZ91C-E</t>
  </si>
  <si>
    <t>AM60A-F</t>
  </si>
  <si>
    <t>MgAlloys</t>
  </si>
  <si>
    <t>EN AW-6022</t>
  </si>
  <si>
    <t>EN AW-6111</t>
  </si>
  <si>
    <t>EN AC-43100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</si>
</sst>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1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5"/>
      <color rgb="FF212121"/>
      <name val="Aptos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EDEDED"/>
        <bgColor rgb="FFEDEDED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6" tint="0.79998168889431442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3" borderId="1" xfId="0" applyFill="1" applyBorder="1"/>
    <xf numFmtId="0" fontId="3" fillId="0" borderId="2" xfId="0" applyFont="1" applyBorder="1"/>
    <xf numFmtId="0" fontId="3" fillId="4" borderId="2" xfId="0" applyFont="1" applyFill="1" applyBorder="1"/>
    <xf numFmtId="0" fontId="2" fillId="5" borderId="0" xfId="0" applyFont="1" applyFill="1"/>
    <xf numFmtId="0" fontId="2" fillId="5" borderId="0" xfId="1" applyFont="1" applyFill="1"/>
    <xf numFmtId="0" fontId="2" fillId="5" borderId="1" xfId="0" applyFont="1" applyFill="1" applyBorder="1"/>
    <xf numFmtId="0" fontId="2" fillId="6" borderId="1" xfId="0" applyFont="1" applyFill="1" applyBorder="1"/>
    <xf numFmtId="4" fontId="0" fillId="0" borderId="1" xfId="0" applyNumberFormat="1" applyBorder="1"/>
    <xf numFmtId="4" fontId="0" fillId="0" borderId="0" xfId="0" applyNumberFormat="1"/>
    <xf numFmtId="0" fontId="2" fillId="6" borderId="0" xfId="0" applyFont="1" applyFill="1"/>
    <xf numFmtId="0" fontId="4" fillId="0" borderId="0" xfId="0" applyFont="1"/>
    <xf numFmtId="0" fontId="0" fillId="0" borderId="0" xfId="0" applyAlignment="1">
      <alignment horizontal="left" vertical="top"/>
    </xf>
    <xf numFmtId="0" fontId="5" fillId="0" borderId="3" xfId="0" applyFont="1" applyBorder="1" applyAlignment="1">
      <alignment vertical="top" wrapText="1"/>
    </xf>
    <xf numFmtId="0" fontId="0" fillId="7" borderId="0" xfId="0" applyFill="1"/>
    <xf numFmtId="0" fontId="6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2" fontId="5" fillId="0" borderId="4" xfId="0" applyNumberFormat="1" applyFont="1" applyBorder="1" applyAlignment="1">
      <alignment vertical="top" wrapText="1"/>
    </xf>
    <xf numFmtId="2" fontId="5" fillId="0" borderId="5" xfId="0" applyNumberFormat="1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2" fontId="5" fillId="0" borderId="0" xfId="0" applyNumberFormat="1" applyFont="1" applyAlignment="1">
      <alignment vertical="top" wrapText="1"/>
    </xf>
    <xf numFmtId="0" fontId="2" fillId="5" borderId="0" xfId="0" applyFont="1" applyFill="1" applyAlignment="1">
      <alignment horizontal="left" vertical="top"/>
    </xf>
    <xf numFmtId="0" fontId="7" fillId="5" borderId="3" xfId="0" applyFont="1" applyFill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164" fontId="2" fillId="5" borderId="0" xfId="0" applyNumberFormat="1" applyFont="1" applyFill="1"/>
    <xf numFmtId="164" fontId="0" fillId="0" borderId="0" xfId="0" applyNumberFormat="1"/>
    <xf numFmtId="0" fontId="3" fillId="0" borderId="0" xfId="0" applyFont="1"/>
    <xf numFmtId="165" fontId="0" fillId="0" borderId="0" xfId="0" applyNumberFormat="1"/>
    <xf numFmtId="165" fontId="3" fillId="0" borderId="0" xfId="0" applyNumberFormat="1" applyFont="1"/>
    <xf numFmtId="0" fontId="10" fillId="0" borderId="0" xfId="0" applyFont="1"/>
    <xf numFmtId="165" fontId="4" fillId="0" borderId="0" xfId="0" applyNumberFormat="1" applyFont="1"/>
    <xf numFmtId="0" fontId="8" fillId="0" borderId="0" xfId="0" applyFont="1" applyAlignment="1">
      <alignment vertical="top" wrapText="1"/>
    </xf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3819-AB8B-104F-8DDB-E791463EF626}">
  <dimension ref="A1:L9"/>
  <sheetViews>
    <sheetView zoomScale="140" zoomScaleNormal="140" workbookViewId="0">
      <selection activeCell="O6" sqref="O6"/>
    </sheetView>
  </sheetViews>
  <sheetFormatPr baseColWidth="10" defaultRowHeight="16" x14ac:dyDescent="0.2"/>
  <cols>
    <col min="1" max="1" width="13.1640625" customWidth="1"/>
  </cols>
  <sheetData>
    <row r="1" spans="1:12" x14ac:dyDescent="0.2">
      <c r="A1" s="6" t="s">
        <v>0</v>
      </c>
      <c r="B1" s="7" t="s">
        <v>2</v>
      </c>
      <c r="C1" s="8" t="s">
        <v>1</v>
      </c>
      <c r="D1" s="7" t="s">
        <v>4</v>
      </c>
      <c r="E1" s="8" t="s">
        <v>7</v>
      </c>
      <c r="F1" s="8" t="s">
        <v>6</v>
      </c>
      <c r="G1" s="7" t="s">
        <v>9</v>
      </c>
      <c r="H1" s="8" t="s">
        <v>3</v>
      </c>
      <c r="I1" s="8" t="s">
        <v>214</v>
      </c>
      <c r="J1" s="7" t="s">
        <v>5</v>
      </c>
      <c r="K1" s="8" t="s">
        <v>8</v>
      </c>
      <c r="L1" s="11" t="s">
        <v>213</v>
      </c>
    </row>
    <row r="2" spans="1:12" x14ac:dyDescent="0.2">
      <c r="A2" t="s">
        <v>221</v>
      </c>
      <c r="B2">
        <v>0.35</v>
      </c>
      <c r="C2">
        <v>12</v>
      </c>
      <c r="D2">
        <v>0.17499999999999999</v>
      </c>
      <c r="E2">
        <v>1</v>
      </c>
      <c r="F2">
        <v>0</v>
      </c>
      <c r="G2">
        <v>0.125</v>
      </c>
      <c r="H2">
        <v>1.1499999999999999</v>
      </c>
      <c r="I2">
        <v>0</v>
      </c>
      <c r="J2">
        <v>1.1499999999999999</v>
      </c>
      <c r="K2">
        <v>0.17499999999999999</v>
      </c>
      <c r="L2">
        <v>0</v>
      </c>
    </row>
    <row r="3" spans="1:12" x14ac:dyDescent="0.2">
      <c r="A3" s="1" t="s">
        <v>220</v>
      </c>
      <c r="B3">
        <v>0.5</v>
      </c>
      <c r="C3">
        <v>6</v>
      </c>
      <c r="D3">
        <v>0.42500000000000004</v>
      </c>
      <c r="E3">
        <v>0.22500000000000001</v>
      </c>
      <c r="F3">
        <v>7.4999999999999997E-2</v>
      </c>
      <c r="G3">
        <v>0.125</v>
      </c>
      <c r="H3">
        <v>4</v>
      </c>
      <c r="I3">
        <v>0</v>
      </c>
      <c r="J3">
        <v>0.15</v>
      </c>
      <c r="K3">
        <v>0.27500000000000002</v>
      </c>
      <c r="L3">
        <v>0</v>
      </c>
    </row>
    <row r="4" spans="1:12" x14ac:dyDescent="0.2">
      <c r="A4" s="1" t="s">
        <v>219</v>
      </c>
      <c r="B4" s="9">
        <v>0.5</v>
      </c>
      <c r="C4" s="9">
        <v>6</v>
      </c>
      <c r="D4" s="9">
        <v>0.25</v>
      </c>
      <c r="E4" s="9">
        <v>0.17499999999999999</v>
      </c>
      <c r="F4" s="10">
        <v>0</v>
      </c>
      <c r="G4" s="9">
        <v>0.125</v>
      </c>
      <c r="H4" s="9">
        <v>3.5</v>
      </c>
      <c r="I4" s="9">
        <v>0</v>
      </c>
      <c r="J4" s="9">
        <v>0.05</v>
      </c>
      <c r="K4" s="9">
        <v>0.5</v>
      </c>
      <c r="L4">
        <v>0</v>
      </c>
    </row>
    <row r="5" spans="1:12" x14ac:dyDescent="0.2">
      <c r="A5" s="1" t="s">
        <v>218</v>
      </c>
      <c r="B5">
        <v>9.5000000000000001E-2</v>
      </c>
      <c r="C5">
        <v>7</v>
      </c>
      <c r="D5">
        <v>0.05</v>
      </c>
      <c r="E5">
        <v>0</v>
      </c>
      <c r="F5">
        <v>0</v>
      </c>
      <c r="G5">
        <v>0.125</v>
      </c>
      <c r="H5">
        <v>2.5000000000000001E-2</v>
      </c>
      <c r="I5">
        <v>0</v>
      </c>
      <c r="J5">
        <v>0.35</v>
      </c>
      <c r="K5">
        <v>3.5000000000000003E-2</v>
      </c>
      <c r="L5">
        <v>0</v>
      </c>
    </row>
    <row r="6" spans="1:12" x14ac:dyDescent="0.2">
      <c r="A6" s="1" t="s">
        <v>217</v>
      </c>
      <c r="B6">
        <v>9.5000000000000001E-2</v>
      </c>
      <c r="C6">
        <v>7</v>
      </c>
      <c r="D6">
        <v>0.05</v>
      </c>
      <c r="E6">
        <v>0</v>
      </c>
      <c r="F6">
        <v>0</v>
      </c>
      <c r="G6">
        <v>0.125</v>
      </c>
      <c r="H6">
        <v>2.5000000000000001E-2</v>
      </c>
      <c r="I6">
        <v>0</v>
      </c>
      <c r="J6">
        <v>0.57499999999999996</v>
      </c>
      <c r="K6">
        <v>3.5000000000000003E-2</v>
      </c>
      <c r="L6">
        <v>0</v>
      </c>
    </row>
    <row r="7" spans="1:12" x14ac:dyDescent="0.2">
      <c r="A7" s="1" t="s">
        <v>216</v>
      </c>
      <c r="B7">
        <v>0.27500000000000002</v>
      </c>
      <c r="C7">
        <v>10</v>
      </c>
      <c r="D7">
        <v>0.22500000000000001</v>
      </c>
      <c r="E7">
        <v>2.5000000000000001E-2</v>
      </c>
      <c r="F7">
        <v>0</v>
      </c>
      <c r="G7">
        <v>7.4999999999999997E-2</v>
      </c>
      <c r="H7">
        <v>0.05</v>
      </c>
      <c r="I7">
        <v>2.5000000000000001E-2</v>
      </c>
      <c r="J7">
        <v>0.32500000000000001</v>
      </c>
      <c r="K7">
        <v>0.05</v>
      </c>
      <c r="L7">
        <v>2.5000000000000001E-2</v>
      </c>
    </row>
    <row r="8" spans="1:12" x14ac:dyDescent="0.2">
      <c r="A8" s="1" t="s">
        <v>215</v>
      </c>
      <c r="B8">
        <v>0.27500000000000002</v>
      </c>
      <c r="C8">
        <v>7</v>
      </c>
      <c r="D8">
        <v>0.17499999999999999</v>
      </c>
      <c r="E8">
        <v>7.4999999999999997E-2</v>
      </c>
      <c r="F8" s="12">
        <v>0</v>
      </c>
      <c r="G8" s="12">
        <v>0.125</v>
      </c>
      <c r="H8">
        <v>0.1</v>
      </c>
      <c r="I8">
        <v>7.4999999999999997E-2</v>
      </c>
      <c r="J8">
        <v>0.42500000000000004</v>
      </c>
      <c r="K8">
        <v>7.4999999999999997E-2</v>
      </c>
      <c r="L8">
        <v>2.5000000000000001E-2</v>
      </c>
    </row>
    <row r="9" spans="1:12" x14ac:dyDescent="0.2">
      <c r="A9" s="1" t="s">
        <v>212</v>
      </c>
      <c r="B9">
        <v>0.4</v>
      </c>
      <c r="C9">
        <v>8.5</v>
      </c>
      <c r="D9">
        <v>0.1075</v>
      </c>
      <c r="E9">
        <v>0.17499999999999999</v>
      </c>
      <c r="F9">
        <v>0</v>
      </c>
      <c r="G9">
        <v>0.125</v>
      </c>
      <c r="H9">
        <v>2.75</v>
      </c>
      <c r="I9">
        <v>0.125</v>
      </c>
      <c r="J9">
        <v>0.3</v>
      </c>
      <c r="K9">
        <v>0.6</v>
      </c>
      <c r="L9">
        <v>7.4999999999999997E-2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C9AD-26DA-EB44-ADD3-9D9F7352606B}">
  <dimension ref="A1:R56"/>
  <sheetViews>
    <sheetView zoomScale="190" zoomScaleNormal="190" workbookViewId="0">
      <pane ySplit="1" topLeftCell="A2" activePane="bottomLeft" state="frozen"/>
      <selection pane="bottomLeft" activeCell="A13" sqref="A13:XFD13"/>
    </sheetView>
  </sheetViews>
  <sheetFormatPr baseColWidth="10" defaultRowHeight="16" x14ac:dyDescent="0.2"/>
  <cols>
    <col min="1" max="1" width="12.1640625" customWidth="1"/>
    <col min="2" max="2" width="16.5" customWidth="1"/>
  </cols>
  <sheetData>
    <row r="1" spans="1:18" ht="42" x14ac:dyDescent="0.2">
      <c r="A1" s="22" t="s">
        <v>295</v>
      </c>
      <c r="B1" s="23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303</v>
      </c>
      <c r="L1" s="5" t="s">
        <v>304</v>
      </c>
      <c r="M1" s="5" t="s">
        <v>214</v>
      </c>
      <c r="N1" s="5" t="s">
        <v>213</v>
      </c>
      <c r="O1" s="5" t="s">
        <v>9</v>
      </c>
      <c r="P1" s="5" t="s">
        <v>305</v>
      </c>
      <c r="Q1" s="23" t="s">
        <v>389</v>
      </c>
      <c r="R1" s="23" t="s">
        <v>390</v>
      </c>
    </row>
    <row r="2" spans="1:18" x14ac:dyDescent="0.2">
      <c r="A2" s="17" t="s">
        <v>238</v>
      </c>
      <c r="B2" s="17" t="s">
        <v>296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</row>
    <row r="3" spans="1:18" x14ac:dyDescent="0.2">
      <c r="A3" s="17" t="s">
        <v>297</v>
      </c>
      <c r="B3" s="17" t="s">
        <v>298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</row>
    <row r="4" spans="1:18" x14ac:dyDescent="0.2">
      <c r="A4" s="17" t="s">
        <v>239</v>
      </c>
      <c r="B4" s="17" t="s">
        <v>240</v>
      </c>
      <c r="C4" s="18">
        <v>0</v>
      </c>
      <c r="D4" s="18">
        <v>0</v>
      </c>
      <c r="E4" s="18">
        <v>4.2</v>
      </c>
      <c r="F4" s="18">
        <v>0</v>
      </c>
      <c r="G4" s="18">
        <v>0.15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0.15</v>
      </c>
      <c r="P4" s="18">
        <v>0</v>
      </c>
      <c r="Q4" s="18">
        <v>0</v>
      </c>
      <c r="R4" s="18">
        <v>0</v>
      </c>
    </row>
    <row r="5" spans="1:18" x14ac:dyDescent="0.2">
      <c r="A5" s="17" t="s">
        <v>239</v>
      </c>
      <c r="B5" s="17" t="s">
        <v>241</v>
      </c>
      <c r="C5" s="18">
        <v>0</v>
      </c>
      <c r="D5" s="18">
        <v>0</v>
      </c>
      <c r="E5" s="18">
        <v>4.2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0.15</v>
      </c>
      <c r="P5" s="18">
        <v>0</v>
      </c>
      <c r="Q5" s="18">
        <v>0</v>
      </c>
      <c r="R5" s="18">
        <v>0</v>
      </c>
    </row>
    <row r="6" spans="1:18" x14ac:dyDescent="0.2">
      <c r="A6" s="17" t="s">
        <v>242</v>
      </c>
      <c r="B6" s="17" t="s">
        <v>243</v>
      </c>
      <c r="C6" s="18">
        <v>1.6</v>
      </c>
      <c r="D6" s="18">
        <v>0</v>
      </c>
      <c r="E6" s="18">
        <v>0</v>
      </c>
      <c r="F6" s="18">
        <v>0.3</v>
      </c>
      <c r="G6" s="18">
        <v>0.45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0.05</v>
      </c>
      <c r="P6" s="18">
        <v>0</v>
      </c>
      <c r="Q6" s="18">
        <v>0</v>
      </c>
      <c r="R6" s="18">
        <v>0</v>
      </c>
    </row>
    <row r="7" spans="1:18" x14ac:dyDescent="0.2">
      <c r="A7" s="17" t="s">
        <v>244</v>
      </c>
      <c r="B7" s="17" t="s">
        <v>245</v>
      </c>
      <c r="C7" s="18">
        <v>6.5</v>
      </c>
      <c r="D7" s="18">
        <v>0</v>
      </c>
      <c r="E7" s="18">
        <v>0</v>
      </c>
      <c r="F7" s="18">
        <v>0</v>
      </c>
      <c r="G7" s="18">
        <v>0.2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</row>
    <row r="8" spans="1:18" x14ac:dyDescent="0.2">
      <c r="A8" s="17" t="s">
        <v>244</v>
      </c>
      <c r="B8" s="17" t="s">
        <v>246</v>
      </c>
      <c r="C8" s="18">
        <v>6.5</v>
      </c>
      <c r="D8" s="18">
        <v>0</v>
      </c>
      <c r="E8" s="18">
        <v>0</v>
      </c>
      <c r="F8" s="18">
        <v>0</v>
      </c>
      <c r="G8" s="18">
        <v>0.25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</row>
    <row r="9" spans="1:18" x14ac:dyDescent="0.2">
      <c r="A9" s="17" t="s">
        <v>244</v>
      </c>
      <c r="B9" s="17" t="s">
        <v>247</v>
      </c>
      <c r="C9" s="18">
        <v>6.5</v>
      </c>
      <c r="D9" s="18">
        <v>0</v>
      </c>
      <c r="E9" s="18">
        <v>0</v>
      </c>
      <c r="F9" s="18">
        <v>0</v>
      </c>
      <c r="G9" s="18">
        <v>0.45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</row>
    <row r="10" spans="1:18" x14ac:dyDescent="0.2">
      <c r="A10" s="17" t="s">
        <v>244</v>
      </c>
      <c r="B10" s="17" t="s">
        <v>248</v>
      </c>
      <c r="C10" s="18">
        <v>6.5</v>
      </c>
      <c r="D10" s="18">
        <v>0</v>
      </c>
      <c r="E10" s="18">
        <v>0</v>
      </c>
      <c r="F10" s="18">
        <v>0</v>
      </c>
      <c r="G10" s="18">
        <v>0.1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</row>
    <row r="11" spans="1:18" x14ac:dyDescent="0.2">
      <c r="A11" s="17" t="s">
        <v>244</v>
      </c>
      <c r="B11" s="17" t="s">
        <v>249</v>
      </c>
      <c r="C11" s="18">
        <v>6.5</v>
      </c>
      <c r="D11" s="18">
        <v>0</v>
      </c>
      <c r="E11" s="18">
        <v>0</v>
      </c>
      <c r="F11" s="18">
        <v>0.35</v>
      </c>
      <c r="G11" s="18">
        <v>0.1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</row>
    <row r="12" spans="1:18" x14ac:dyDescent="0.2">
      <c r="A12" s="17" t="s">
        <v>250</v>
      </c>
      <c r="B12" s="17" t="s">
        <v>251</v>
      </c>
      <c r="C12" s="18">
        <v>9</v>
      </c>
      <c r="D12" s="18">
        <v>0</v>
      </c>
      <c r="E12" s="18">
        <v>0</v>
      </c>
      <c r="F12" s="18">
        <v>0</v>
      </c>
      <c r="G12" s="18">
        <v>0.2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</row>
    <row r="13" spans="1:18" x14ac:dyDescent="0.2">
      <c r="A13" s="17" t="s">
        <v>250</v>
      </c>
      <c r="B13" s="17" t="s">
        <v>398</v>
      </c>
      <c r="C13" s="18">
        <v>9</v>
      </c>
      <c r="D13" s="18">
        <v>0</v>
      </c>
      <c r="E13" s="18">
        <v>0</v>
      </c>
      <c r="F13" s="18">
        <v>0</v>
      </c>
      <c r="G13" s="18">
        <v>0.2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</row>
    <row r="14" spans="1:18" x14ac:dyDescent="0.2">
      <c r="A14" s="17" t="s">
        <v>250</v>
      </c>
      <c r="B14" s="17" t="s">
        <v>252</v>
      </c>
      <c r="C14" s="18">
        <v>9</v>
      </c>
      <c r="D14" s="18">
        <v>0</v>
      </c>
      <c r="E14" s="18">
        <v>0</v>
      </c>
      <c r="F14" s="18">
        <v>0</v>
      </c>
      <c r="G14" s="18">
        <v>0.2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</row>
    <row r="15" spans="1:18" x14ac:dyDescent="0.2">
      <c r="A15" s="17" t="s">
        <v>250</v>
      </c>
      <c r="B15" s="17" t="s">
        <v>253</v>
      </c>
      <c r="C15" s="18">
        <v>9</v>
      </c>
      <c r="D15" s="18">
        <v>0</v>
      </c>
      <c r="E15" s="18">
        <v>0</v>
      </c>
      <c r="F15" s="18">
        <v>0</v>
      </c>
      <c r="G15" s="18">
        <v>0.2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</row>
    <row r="16" spans="1:18" x14ac:dyDescent="0.2">
      <c r="A16" s="17" t="s">
        <v>250</v>
      </c>
      <c r="B16" s="17" t="s">
        <v>254</v>
      </c>
      <c r="C16" s="18">
        <v>9</v>
      </c>
      <c r="D16" s="18">
        <v>0</v>
      </c>
      <c r="E16" s="18">
        <v>0</v>
      </c>
      <c r="F16" s="18">
        <v>0</v>
      </c>
      <c r="G16" s="18">
        <v>0.2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</row>
    <row r="17" spans="1:18" x14ac:dyDescent="0.2">
      <c r="A17" s="17" t="s">
        <v>250</v>
      </c>
      <c r="B17" s="17" t="s">
        <v>255</v>
      </c>
      <c r="C17" s="18">
        <v>9</v>
      </c>
      <c r="D17" s="18">
        <v>0</v>
      </c>
      <c r="E17" s="18">
        <v>0</v>
      </c>
      <c r="F17" s="18">
        <v>0.4</v>
      </c>
      <c r="G17" s="18">
        <v>0.1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</row>
    <row r="18" spans="1:18" x14ac:dyDescent="0.2">
      <c r="A18" s="17" t="s">
        <v>256</v>
      </c>
      <c r="B18" s="17" t="s">
        <v>257</v>
      </c>
      <c r="C18" s="18">
        <v>10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</row>
    <row r="19" spans="1:18" x14ac:dyDescent="0.2">
      <c r="A19" s="17" t="s">
        <v>256</v>
      </c>
      <c r="B19" s="17" t="s">
        <v>258</v>
      </c>
      <c r="C19" s="18">
        <v>10.5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</row>
    <row r="20" spans="1:18" x14ac:dyDescent="0.2">
      <c r="A20" s="17" t="s">
        <v>256</v>
      </c>
      <c r="B20" s="17" t="s">
        <v>259</v>
      </c>
      <c r="C20" s="18">
        <v>10.5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</row>
    <row r="21" spans="1:18" x14ac:dyDescent="0.2">
      <c r="A21" s="17" t="s">
        <v>256</v>
      </c>
      <c r="B21" s="17" t="s">
        <v>260</v>
      </c>
      <c r="C21" s="18">
        <v>10.5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</row>
    <row r="22" spans="1:18" x14ac:dyDescent="0.2">
      <c r="A22" s="17" t="s">
        <v>256</v>
      </c>
      <c r="B22" s="17" t="s">
        <v>261</v>
      </c>
      <c r="C22" s="18">
        <v>8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</row>
    <row r="23" spans="1:18" x14ac:dyDescent="0.2">
      <c r="A23" s="17" t="s">
        <v>256</v>
      </c>
      <c r="B23" s="17" t="s">
        <v>262</v>
      </c>
      <c r="C23" s="18">
        <v>10.5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</row>
    <row r="24" spans="1:18" x14ac:dyDescent="0.2">
      <c r="A24" s="17" t="s">
        <v>256</v>
      </c>
      <c r="B24" s="17" t="s">
        <v>263</v>
      </c>
      <c r="C24" s="18">
        <v>9.5</v>
      </c>
      <c r="D24" s="18">
        <v>0.1</v>
      </c>
      <c r="E24" s="18">
        <v>0</v>
      </c>
      <c r="F24" s="18">
        <v>0.3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</row>
    <row r="25" spans="1:18" x14ac:dyDescent="0.2">
      <c r="A25" s="17" t="s">
        <v>264</v>
      </c>
      <c r="B25" s="17" t="s">
        <v>265</v>
      </c>
      <c r="C25" s="18">
        <v>5</v>
      </c>
      <c r="D25" s="18">
        <v>0</v>
      </c>
      <c r="E25" s="18">
        <v>3</v>
      </c>
      <c r="F25" s="18">
        <v>0.2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</row>
    <row r="26" spans="1:18" x14ac:dyDescent="0.2">
      <c r="A26" s="17" t="s">
        <v>264</v>
      </c>
      <c r="B26" s="17" t="s">
        <v>266</v>
      </c>
      <c r="C26" s="18">
        <v>4.5</v>
      </c>
      <c r="D26" s="18">
        <v>0</v>
      </c>
      <c r="E26" s="18">
        <v>2.6</v>
      </c>
      <c r="F26" s="18">
        <v>0</v>
      </c>
      <c r="G26" s="18">
        <v>0.15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</row>
    <row r="27" spans="1:18" x14ac:dyDescent="0.2">
      <c r="A27" s="17" t="s">
        <v>264</v>
      </c>
      <c r="B27" s="17" t="s">
        <v>267</v>
      </c>
      <c r="C27" s="18">
        <v>4.5</v>
      </c>
      <c r="D27" s="18">
        <v>0</v>
      </c>
      <c r="E27" s="18">
        <v>1</v>
      </c>
      <c r="F27" s="18">
        <v>0</v>
      </c>
      <c r="G27" s="18">
        <v>0.35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</row>
    <row r="28" spans="1:18" x14ac:dyDescent="0.2">
      <c r="A28" s="17" t="s">
        <v>264</v>
      </c>
      <c r="B28" s="17" t="s">
        <v>268</v>
      </c>
      <c r="C28" s="18">
        <v>4.5</v>
      </c>
      <c r="D28" s="18">
        <v>0</v>
      </c>
      <c r="E28" s="18">
        <v>2.6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</row>
    <row r="29" spans="1:18" x14ac:dyDescent="0.2">
      <c r="A29" s="17" t="s">
        <v>264</v>
      </c>
      <c r="B29" s="17" t="s">
        <v>269</v>
      </c>
      <c r="C29" s="18">
        <v>6.5</v>
      </c>
      <c r="D29" s="18">
        <v>0</v>
      </c>
      <c r="E29" s="18">
        <v>0.2</v>
      </c>
      <c r="F29" s="18">
        <v>0</v>
      </c>
      <c r="G29" s="18">
        <v>0.2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</row>
    <row r="30" spans="1:18" x14ac:dyDescent="0.2">
      <c r="A30" s="17" t="s">
        <v>264</v>
      </c>
      <c r="B30" s="17" t="s">
        <v>270</v>
      </c>
      <c r="C30" s="18">
        <v>6.5</v>
      </c>
      <c r="D30" s="18">
        <v>0</v>
      </c>
      <c r="E30" s="18">
        <v>0.8</v>
      </c>
      <c r="F30" s="18">
        <v>0</v>
      </c>
      <c r="G30" s="18">
        <v>0.45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</row>
    <row r="31" spans="1:18" x14ac:dyDescent="0.2">
      <c r="A31" s="17" t="s">
        <v>271</v>
      </c>
      <c r="B31" s="17" t="s">
        <v>272</v>
      </c>
      <c r="C31" s="18">
        <v>8</v>
      </c>
      <c r="D31" s="18">
        <v>0</v>
      </c>
      <c r="E31" s="18">
        <v>2</v>
      </c>
      <c r="F31" s="18">
        <v>0</v>
      </c>
      <c r="G31" s="18">
        <v>0.05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</row>
    <row r="32" spans="1:18" x14ac:dyDescent="0.2">
      <c r="A32" s="17" t="s">
        <v>271</v>
      </c>
      <c r="B32" s="17" t="s">
        <v>273</v>
      </c>
      <c r="C32" s="18">
        <v>10</v>
      </c>
      <c r="D32" s="18">
        <v>0</v>
      </c>
      <c r="E32" s="18">
        <v>1.5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</row>
    <row r="33" spans="1:18" x14ac:dyDescent="0.2">
      <c r="A33" s="17" t="s">
        <v>271</v>
      </c>
      <c r="B33" s="17" t="s">
        <v>274</v>
      </c>
      <c r="C33" s="18">
        <v>7.5</v>
      </c>
      <c r="D33" s="18">
        <v>0</v>
      </c>
      <c r="E33" s="18">
        <v>2</v>
      </c>
      <c r="F33" s="18">
        <v>0.15</v>
      </c>
      <c r="G33" s="18">
        <v>0.05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</row>
    <row r="34" spans="1:18" x14ac:dyDescent="0.2">
      <c r="A34" s="17" t="s">
        <v>271</v>
      </c>
      <c r="B34" s="17" t="s">
        <v>275</v>
      </c>
      <c r="C34" s="18">
        <v>6.5</v>
      </c>
      <c r="D34" s="18">
        <v>0</v>
      </c>
      <c r="E34" s="18">
        <v>3</v>
      </c>
      <c r="F34" s="18">
        <v>0.2</v>
      </c>
      <c r="G34" s="18">
        <v>0.3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</row>
    <row r="35" spans="1:18" x14ac:dyDescent="0.2">
      <c r="A35" s="17" t="s">
        <v>271</v>
      </c>
      <c r="B35" s="17" t="s">
        <v>276</v>
      </c>
      <c r="C35" s="18">
        <v>8.3000000000000007</v>
      </c>
      <c r="D35" s="18">
        <v>0</v>
      </c>
      <c r="E35" s="18">
        <v>0.8</v>
      </c>
      <c r="F35" s="18">
        <v>0.15</v>
      </c>
      <c r="G35" s="18">
        <v>0.25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</row>
    <row r="36" spans="1:18" x14ac:dyDescent="0.2">
      <c r="A36" s="17" t="s">
        <v>271</v>
      </c>
      <c r="B36" s="17" t="s">
        <v>277</v>
      </c>
      <c r="C36" s="18">
        <v>8</v>
      </c>
      <c r="D36" s="18">
        <v>0</v>
      </c>
      <c r="E36" s="18">
        <v>2</v>
      </c>
      <c r="F36" s="18">
        <v>0</v>
      </c>
      <c r="G36" s="18">
        <v>0.05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</row>
    <row r="37" spans="1:18" x14ac:dyDescent="0.2">
      <c r="A37" s="17" t="s">
        <v>271</v>
      </c>
      <c r="B37" s="17" t="s">
        <v>278</v>
      </c>
      <c r="C37" s="18">
        <v>6</v>
      </c>
      <c r="D37" s="18">
        <v>0</v>
      </c>
      <c r="E37" s="18">
        <v>1.5</v>
      </c>
      <c r="F37" s="18">
        <v>0.15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</row>
    <row r="38" spans="1:18" x14ac:dyDescent="0.2">
      <c r="A38" s="17" t="s">
        <v>279</v>
      </c>
      <c r="B38" s="17" t="s">
        <v>280</v>
      </c>
      <c r="C38" s="18">
        <v>10.5</v>
      </c>
      <c r="D38" s="18">
        <v>0</v>
      </c>
      <c r="E38" s="18">
        <v>0</v>
      </c>
      <c r="F38" s="18">
        <v>0.05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</row>
    <row r="39" spans="1:18" x14ac:dyDescent="0.2">
      <c r="A39" s="17" t="s">
        <v>279</v>
      </c>
      <c r="B39" s="17" t="s">
        <v>281</v>
      </c>
      <c r="C39" s="18">
        <v>10.5</v>
      </c>
      <c r="D39" s="18">
        <v>0</v>
      </c>
      <c r="E39" s="18">
        <v>0.7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</row>
    <row r="40" spans="1:18" x14ac:dyDescent="0.2">
      <c r="A40" s="17" t="s">
        <v>279</v>
      </c>
      <c r="B40" s="17" t="s">
        <v>282</v>
      </c>
      <c r="C40" s="18">
        <v>10.5</v>
      </c>
      <c r="D40" s="18">
        <v>0.6</v>
      </c>
      <c r="E40" s="18">
        <v>0</v>
      </c>
      <c r="F40" s="18">
        <v>0.1</v>
      </c>
      <c r="G40" s="18">
        <v>0.1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</row>
    <row r="41" spans="1:18" x14ac:dyDescent="0.2">
      <c r="A41" s="17" t="s">
        <v>283</v>
      </c>
      <c r="B41" s="17" t="s">
        <v>284</v>
      </c>
      <c r="C41" s="18">
        <v>10.5</v>
      </c>
      <c r="D41" s="18">
        <v>0</v>
      </c>
      <c r="E41" s="18">
        <v>0.8</v>
      </c>
      <c r="F41" s="18">
        <v>0</v>
      </c>
      <c r="G41" s="18">
        <v>0.8</v>
      </c>
      <c r="H41" s="18">
        <v>0</v>
      </c>
      <c r="I41" s="18">
        <v>0.7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</row>
    <row r="42" spans="1:18" x14ac:dyDescent="0.2">
      <c r="A42" s="17" t="s">
        <v>283</v>
      </c>
      <c r="B42" s="17" t="s">
        <v>285</v>
      </c>
      <c r="C42" s="18">
        <v>16</v>
      </c>
      <c r="D42" s="18">
        <v>0</v>
      </c>
      <c r="E42" s="18">
        <v>4</v>
      </c>
      <c r="F42" s="18">
        <v>0</v>
      </c>
      <c r="G42" s="18">
        <v>0.25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</row>
    <row r="43" spans="1:18" x14ac:dyDescent="0.2">
      <c r="A43" s="17" t="s">
        <v>283</v>
      </c>
      <c r="B43" s="17" t="s">
        <v>286</v>
      </c>
      <c r="C43" s="18">
        <v>14.5</v>
      </c>
      <c r="D43" s="18">
        <v>0.7</v>
      </c>
      <c r="E43" s="18">
        <v>3</v>
      </c>
      <c r="F43" s="18">
        <v>0.4</v>
      </c>
      <c r="G43" s="18">
        <v>0.55000000000000004</v>
      </c>
      <c r="H43" s="18">
        <v>0.05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0.05</v>
      </c>
      <c r="P43" s="18">
        <v>0</v>
      </c>
      <c r="Q43" s="18">
        <v>0</v>
      </c>
      <c r="R43" s="18">
        <v>0</v>
      </c>
    </row>
    <row r="44" spans="1:18" x14ac:dyDescent="0.2">
      <c r="A44" s="17" t="s">
        <v>287</v>
      </c>
      <c r="B44" s="17" t="s">
        <v>288</v>
      </c>
      <c r="C44" s="18">
        <v>0</v>
      </c>
      <c r="D44" s="18">
        <v>0</v>
      </c>
      <c r="E44" s="18">
        <v>0</v>
      </c>
      <c r="F44" s="18">
        <v>0</v>
      </c>
      <c r="G44" s="18">
        <v>2.5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</row>
    <row r="45" spans="1:18" x14ac:dyDescent="0.2">
      <c r="A45" s="17" t="s">
        <v>287</v>
      </c>
      <c r="B45" s="17" t="s">
        <v>289</v>
      </c>
      <c r="C45" s="18">
        <v>0</v>
      </c>
      <c r="D45" s="18">
        <v>0</v>
      </c>
      <c r="E45" s="18">
        <v>0</v>
      </c>
      <c r="F45" s="18">
        <v>0</v>
      </c>
      <c r="G45" s="18">
        <v>8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</row>
    <row r="46" spans="1:18" x14ac:dyDescent="0.2">
      <c r="A46" s="17" t="s">
        <v>287</v>
      </c>
      <c r="B46" s="17" t="s">
        <v>290</v>
      </c>
      <c r="C46" s="18">
        <v>0</v>
      </c>
      <c r="D46" s="18">
        <v>0</v>
      </c>
      <c r="E46" s="18">
        <v>0</v>
      </c>
      <c r="F46" s="18">
        <v>0</v>
      </c>
      <c r="G46" s="18">
        <v>4.3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</row>
    <row r="47" spans="1:18" x14ac:dyDescent="0.2">
      <c r="A47" s="17" t="s">
        <v>287</v>
      </c>
      <c r="B47" s="17" t="s">
        <v>291</v>
      </c>
      <c r="C47" s="18">
        <v>0</v>
      </c>
      <c r="D47" s="18">
        <v>0</v>
      </c>
      <c r="E47" s="18">
        <v>0</v>
      </c>
      <c r="F47" s="18">
        <v>0</v>
      </c>
      <c r="G47" s="18">
        <v>4.5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</row>
    <row r="48" spans="1:18" x14ac:dyDescent="0.2">
      <c r="A48" s="17" t="s">
        <v>287</v>
      </c>
      <c r="B48" s="17" t="s">
        <v>292</v>
      </c>
      <c r="C48" s="18">
        <v>1.8</v>
      </c>
      <c r="D48" s="18">
        <v>0</v>
      </c>
      <c r="E48" s="18">
        <v>0</v>
      </c>
      <c r="F48" s="18">
        <v>0.4</v>
      </c>
      <c r="G48" s="18">
        <v>4.7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</row>
    <row r="49" spans="1:18" x14ac:dyDescent="0.2">
      <c r="A49" s="17" t="s">
        <v>293</v>
      </c>
      <c r="B49" s="17" t="s">
        <v>294</v>
      </c>
      <c r="C49" s="18">
        <v>7.5</v>
      </c>
      <c r="D49" s="18">
        <v>0</v>
      </c>
      <c r="E49" s="18">
        <v>0</v>
      </c>
      <c r="F49" s="18">
        <v>0</v>
      </c>
      <c r="G49" s="18">
        <v>0.2</v>
      </c>
      <c r="H49" s="18">
        <v>0</v>
      </c>
      <c r="I49" s="18">
        <v>0</v>
      </c>
      <c r="J49" s="18">
        <v>9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</row>
    <row r="50" spans="1:18" x14ac:dyDescent="0.2">
      <c r="A50" t="s">
        <v>299</v>
      </c>
      <c r="B50" t="s">
        <v>300</v>
      </c>
      <c r="C50" s="19">
        <v>0</v>
      </c>
      <c r="D50" s="19">
        <v>1.5</v>
      </c>
      <c r="E50" s="19">
        <v>0</v>
      </c>
      <c r="F50" s="19">
        <v>0</v>
      </c>
      <c r="G50" s="19">
        <v>4.0999999999999996</v>
      </c>
      <c r="H50" s="19">
        <v>0</v>
      </c>
      <c r="I50" s="19">
        <v>0</v>
      </c>
      <c r="J50" s="19">
        <v>0</v>
      </c>
      <c r="K50" s="18">
        <v>0</v>
      </c>
      <c r="L50" s="18">
        <v>0</v>
      </c>
      <c r="M50" s="19">
        <v>0</v>
      </c>
      <c r="N50" s="19">
        <v>0</v>
      </c>
      <c r="O50" s="19">
        <v>0</v>
      </c>
      <c r="P50" s="18">
        <v>0</v>
      </c>
      <c r="Q50" s="19">
        <v>0</v>
      </c>
      <c r="R50" s="19">
        <v>0</v>
      </c>
    </row>
    <row r="51" spans="1:18" x14ac:dyDescent="0.2">
      <c r="A51" s="20" t="s">
        <v>301</v>
      </c>
      <c r="B51" t="s">
        <v>302</v>
      </c>
      <c r="C51" s="19">
        <v>8.5</v>
      </c>
      <c r="D51" s="19">
        <v>0</v>
      </c>
      <c r="E51" s="19">
        <v>0</v>
      </c>
      <c r="F51" s="19">
        <v>0.35</v>
      </c>
      <c r="G51" s="19">
        <v>0</v>
      </c>
      <c r="H51" s="19">
        <v>0</v>
      </c>
      <c r="I51" s="19">
        <v>0</v>
      </c>
      <c r="J51" s="19">
        <v>0</v>
      </c>
      <c r="K51" s="21">
        <v>0.1</v>
      </c>
      <c r="L51" s="21">
        <v>0.1</v>
      </c>
      <c r="M51" s="19">
        <v>0</v>
      </c>
      <c r="N51" s="19">
        <v>0</v>
      </c>
      <c r="O51" s="19">
        <v>0</v>
      </c>
      <c r="P51" s="19">
        <v>6.0000000000000001E-3</v>
      </c>
      <c r="Q51" s="19">
        <v>0</v>
      </c>
      <c r="R51" s="19">
        <v>0</v>
      </c>
    </row>
    <row r="52" spans="1:18" x14ac:dyDescent="0.2">
      <c r="A52" t="s">
        <v>306</v>
      </c>
      <c r="B52" t="s">
        <v>307</v>
      </c>
      <c r="C52" s="19">
        <v>8</v>
      </c>
      <c r="D52" s="19">
        <v>0.5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21">
        <v>0</v>
      </c>
      <c r="L52" s="21">
        <v>0</v>
      </c>
      <c r="M52" s="19">
        <v>0</v>
      </c>
      <c r="N52" s="19">
        <v>0</v>
      </c>
      <c r="O52" s="19">
        <v>0</v>
      </c>
      <c r="P52" s="19">
        <v>0.01</v>
      </c>
      <c r="Q52" s="19">
        <v>0</v>
      </c>
      <c r="R52" s="19">
        <v>0</v>
      </c>
    </row>
    <row r="53" spans="1:18" x14ac:dyDescent="0.2">
      <c r="A53" t="s">
        <v>308</v>
      </c>
      <c r="B53" t="s">
        <v>309</v>
      </c>
      <c r="C53" s="19">
        <v>1.8</v>
      </c>
      <c r="D53" s="19">
        <v>0</v>
      </c>
      <c r="E53" s="19">
        <v>0</v>
      </c>
      <c r="F53" s="19">
        <v>0.5</v>
      </c>
      <c r="G53" s="19">
        <v>5</v>
      </c>
      <c r="H53" s="19">
        <v>0</v>
      </c>
      <c r="I53" s="19">
        <v>0</v>
      </c>
      <c r="J53" s="19">
        <v>0</v>
      </c>
      <c r="K53" s="21">
        <v>0</v>
      </c>
      <c r="L53" s="21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</row>
    <row r="54" spans="1:18" x14ac:dyDescent="0.2">
      <c r="A54" t="s">
        <v>311</v>
      </c>
      <c r="B54" t="s">
        <v>310</v>
      </c>
      <c r="C54" s="19">
        <v>2.1</v>
      </c>
      <c r="D54" s="19">
        <v>0</v>
      </c>
      <c r="E54" s="19">
        <v>0</v>
      </c>
      <c r="F54" s="19">
        <v>0.5</v>
      </c>
      <c r="G54" s="19">
        <v>6</v>
      </c>
      <c r="H54" s="19">
        <v>0</v>
      </c>
      <c r="I54" s="19">
        <v>0</v>
      </c>
      <c r="J54" s="19">
        <v>0</v>
      </c>
      <c r="K54" s="21">
        <v>0</v>
      </c>
      <c r="L54" s="21">
        <v>0.1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</row>
    <row r="55" spans="1:18" x14ac:dyDescent="0.2">
      <c r="A55" t="s">
        <v>313</v>
      </c>
      <c r="B55" t="s">
        <v>314</v>
      </c>
      <c r="C55" s="19">
        <v>8.35</v>
      </c>
      <c r="D55" s="19">
        <v>0</v>
      </c>
      <c r="E55" s="19">
        <v>0.1</v>
      </c>
      <c r="F55" s="19">
        <v>0.4</v>
      </c>
      <c r="G55" s="19">
        <v>0.3</v>
      </c>
      <c r="H55" s="19">
        <v>0</v>
      </c>
      <c r="I55" s="19">
        <v>0</v>
      </c>
      <c r="J55" s="19">
        <v>0.1</v>
      </c>
      <c r="K55" s="21">
        <v>0</v>
      </c>
      <c r="L55" s="21">
        <v>0.01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</row>
    <row r="56" spans="1:18" x14ac:dyDescent="0.2">
      <c r="A56" t="s">
        <v>315</v>
      </c>
      <c r="B56" t="s">
        <v>316</v>
      </c>
      <c r="C56" s="19">
        <v>9.5</v>
      </c>
      <c r="D56" s="19">
        <v>0</v>
      </c>
      <c r="E56" s="19">
        <v>0</v>
      </c>
      <c r="F56" s="19">
        <v>0.5</v>
      </c>
      <c r="G56" s="19">
        <v>0.2</v>
      </c>
      <c r="H56" s="19">
        <v>0</v>
      </c>
      <c r="I56" s="19">
        <v>0</v>
      </c>
      <c r="J56" s="19">
        <v>0</v>
      </c>
      <c r="K56" s="21">
        <v>0</v>
      </c>
      <c r="L56" s="21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2EFA-1857-6F44-9C23-07F2CBF0CCE4}">
  <dimension ref="A1:R56"/>
  <sheetViews>
    <sheetView topLeftCell="E1" zoomScale="272" zoomScaleNormal="272" workbookViewId="0">
      <pane ySplit="1" topLeftCell="A2" activePane="bottomLeft" state="frozen"/>
      <selection pane="bottomLeft" activeCell="R14" sqref="R14"/>
    </sheetView>
  </sheetViews>
  <sheetFormatPr baseColWidth="10" defaultRowHeight="16" x14ac:dyDescent="0.2"/>
  <cols>
    <col min="2" max="2" width="14.5" customWidth="1"/>
  </cols>
  <sheetData>
    <row r="1" spans="1:18" ht="42" x14ac:dyDescent="0.2">
      <c r="A1" s="13" t="s">
        <v>295</v>
      </c>
      <c r="B1" s="14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303</v>
      </c>
      <c r="L1" t="s">
        <v>304</v>
      </c>
      <c r="M1" s="15" t="s">
        <v>214</v>
      </c>
      <c r="N1" s="15" t="s">
        <v>213</v>
      </c>
      <c r="O1" t="s">
        <v>9</v>
      </c>
      <c r="P1" t="s">
        <v>305</v>
      </c>
      <c r="Q1" s="14" t="s">
        <v>389</v>
      </c>
      <c r="R1" s="16" t="s">
        <v>390</v>
      </c>
    </row>
    <row r="2" spans="1:18" x14ac:dyDescent="0.2">
      <c r="A2" s="17" t="s">
        <v>238</v>
      </c>
      <c r="B2" s="17" t="s">
        <v>296</v>
      </c>
      <c r="C2" s="18">
        <v>0.1</v>
      </c>
      <c r="D2" s="18">
        <v>0.3</v>
      </c>
      <c r="E2" s="18">
        <v>0.01</v>
      </c>
      <c r="F2" s="18">
        <v>7.0000000000000001E-3</v>
      </c>
      <c r="G2" s="18">
        <v>0.02</v>
      </c>
      <c r="H2" s="18">
        <v>5.0000000000000001E-3</v>
      </c>
      <c r="I2" s="18">
        <v>0</v>
      </c>
      <c r="J2" s="18">
        <v>0.04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0.03</v>
      </c>
      <c r="R2" s="18">
        <v>0</v>
      </c>
    </row>
    <row r="3" spans="1:18" x14ac:dyDescent="0.2">
      <c r="A3" s="17" t="s">
        <v>297</v>
      </c>
      <c r="B3" s="17" t="s">
        <v>298</v>
      </c>
      <c r="C3" s="18">
        <v>7.0000000000000007E-2</v>
      </c>
      <c r="D3" s="18">
        <v>0.2</v>
      </c>
      <c r="E3" s="18">
        <v>0.01</v>
      </c>
      <c r="F3" s="18">
        <v>5.0000000000000001E-3</v>
      </c>
      <c r="G3" s="18">
        <v>0.02</v>
      </c>
      <c r="H3" s="18">
        <v>4.0000000000000001E-3</v>
      </c>
      <c r="I3" s="18">
        <v>0</v>
      </c>
      <c r="J3" s="18">
        <v>0.04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0.03</v>
      </c>
      <c r="R3" s="18">
        <v>0</v>
      </c>
    </row>
    <row r="4" spans="1:18" x14ac:dyDescent="0.2">
      <c r="A4" s="17" t="s">
        <v>239</v>
      </c>
      <c r="B4" s="17" t="s">
        <v>240</v>
      </c>
      <c r="C4" s="18">
        <v>0.2</v>
      </c>
      <c r="D4" s="18">
        <v>0.35</v>
      </c>
      <c r="E4" s="18">
        <v>5</v>
      </c>
      <c r="F4" s="18">
        <v>0.1</v>
      </c>
      <c r="G4" s="18">
        <v>0.35</v>
      </c>
      <c r="H4" s="18">
        <v>0</v>
      </c>
      <c r="I4" s="18">
        <v>0.05</v>
      </c>
      <c r="J4" s="18">
        <v>0.1</v>
      </c>
      <c r="K4" s="18">
        <v>0</v>
      </c>
      <c r="L4" s="18">
        <v>0</v>
      </c>
      <c r="M4" s="18">
        <v>0.05</v>
      </c>
      <c r="N4" s="18">
        <v>0.05</v>
      </c>
      <c r="O4" s="18">
        <v>0.3</v>
      </c>
      <c r="P4" s="18">
        <v>0</v>
      </c>
      <c r="Q4" s="18">
        <v>0.03</v>
      </c>
      <c r="R4" s="18">
        <v>0.1</v>
      </c>
    </row>
    <row r="5" spans="1:18" x14ac:dyDescent="0.2">
      <c r="A5" s="17" t="s">
        <v>239</v>
      </c>
      <c r="B5" s="17" t="s">
        <v>241</v>
      </c>
      <c r="C5" s="18">
        <v>0.18</v>
      </c>
      <c r="D5" s="18">
        <v>0.19</v>
      </c>
      <c r="E5" s="18">
        <v>5.2</v>
      </c>
      <c r="F5" s="18">
        <v>0.55000000000000004</v>
      </c>
      <c r="G5" s="18">
        <v>0</v>
      </c>
      <c r="H5" s="18">
        <v>0</v>
      </c>
      <c r="I5" s="18">
        <v>0</v>
      </c>
      <c r="J5" s="18">
        <v>7.0000000000000007E-2</v>
      </c>
      <c r="K5" s="18">
        <v>0</v>
      </c>
      <c r="L5" s="18">
        <v>0</v>
      </c>
      <c r="M5" s="18">
        <v>0</v>
      </c>
      <c r="N5" s="18">
        <v>0</v>
      </c>
      <c r="O5" s="18">
        <v>0.3</v>
      </c>
      <c r="P5" s="18">
        <v>0</v>
      </c>
      <c r="Q5" s="18">
        <v>0.03</v>
      </c>
      <c r="R5" s="18">
        <v>0.1</v>
      </c>
    </row>
    <row r="6" spans="1:18" x14ac:dyDescent="0.2">
      <c r="A6" s="17" t="s">
        <v>242</v>
      </c>
      <c r="B6" s="17" t="s">
        <v>243</v>
      </c>
      <c r="C6" s="18">
        <v>2.4</v>
      </c>
      <c r="D6" s="18">
        <v>0.6</v>
      </c>
      <c r="E6" s="18">
        <v>0.1</v>
      </c>
      <c r="F6" s="18">
        <v>0.5</v>
      </c>
      <c r="G6" s="18">
        <v>0.65</v>
      </c>
      <c r="H6" s="18">
        <v>0</v>
      </c>
      <c r="I6" s="18">
        <v>0.05</v>
      </c>
      <c r="J6" s="18">
        <v>0.1</v>
      </c>
      <c r="K6" s="18">
        <v>0</v>
      </c>
      <c r="L6" s="18">
        <v>0</v>
      </c>
      <c r="M6" s="18">
        <v>0.05</v>
      </c>
      <c r="N6" s="18">
        <v>0.05</v>
      </c>
      <c r="O6" s="18">
        <v>0.2</v>
      </c>
      <c r="P6" s="18">
        <v>0</v>
      </c>
      <c r="Q6" s="18">
        <v>0.05</v>
      </c>
      <c r="R6" s="18">
        <v>0.15</v>
      </c>
    </row>
    <row r="7" spans="1:18" x14ac:dyDescent="0.2">
      <c r="A7" s="17" t="s">
        <v>244</v>
      </c>
      <c r="B7" s="17" t="s">
        <v>245</v>
      </c>
      <c r="C7" s="18">
        <v>7.5</v>
      </c>
      <c r="D7" s="18">
        <v>0.55000000000000004</v>
      </c>
      <c r="E7" s="18">
        <v>0.2</v>
      </c>
      <c r="F7" s="18">
        <v>0.35</v>
      </c>
      <c r="G7" s="18">
        <v>0.65</v>
      </c>
      <c r="H7" s="18">
        <v>0</v>
      </c>
      <c r="I7" s="18">
        <v>0.15</v>
      </c>
      <c r="J7" s="18">
        <v>0.15</v>
      </c>
      <c r="K7" s="18">
        <v>0</v>
      </c>
      <c r="L7" s="18">
        <v>0</v>
      </c>
      <c r="M7" s="18">
        <v>0.15</v>
      </c>
      <c r="N7" s="18">
        <v>0.05</v>
      </c>
      <c r="O7" s="18">
        <v>0.25</v>
      </c>
      <c r="P7" s="18">
        <v>0</v>
      </c>
      <c r="Q7" s="18">
        <v>0.05</v>
      </c>
      <c r="R7" s="18">
        <v>0.15</v>
      </c>
    </row>
    <row r="8" spans="1:18" x14ac:dyDescent="0.2">
      <c r="A8" s="17" t="s">
        <v>244</v>
      </c>
      <c r="B8" s="17" t="s">
        <v>246</v>
      </c>
      <c r="C8" s="18">
        <v>7.5</v>
      </c>
      <c r="D8" s="18">
        <v>0.19</v>
      </c>
      <c r="E8" s="18">
        <v>0.05</v>
      </c>
      <c r="F8" s="18">
        <v>0.1</v>
      </c>
      <c r="G8" s="18">
        <v>0.45</v>
      </c>
      <c r="H8" s="18">
        <v>0</v>
      </c>
      <c r="I8" s="18">
        <v>0</v>
      </c>
      <c r="J8" s="18">
        <v>7.0000000000000007E-2</v>
      </c>
      <c r="K8" s="18">
        <v>0</v>
      </c>
      <c r="L8" s="18">
        <v>0</v>
      </c>
      <c r="M8" s="18">
        <v>0</v>
      </c>
      <c r="N8" s="18">
        <v>0</v>
      </c>
      <c r="O8" s="18">
        <v>0.25</v>
      </c>
      <c r="P8" s="18">
        <v>0</v>
      </c>
      <c r="Q8" s="18">
        <v>0.03</v>
      </c>
      <c r="R8" s="18">
        <v>0.1</v>
      </c>
    </row>
    <row r="9" spans="1:18" x14ac:dyDescent="0.2">
      <c r="A9" s="17" t="s">
        <v>244</v>
      </c>
      <c r="B9" s="17" t="s">
        <v>247</v>
      </c>
      <c r="C9" s="18">
        <v>7.5</v>
      </c>
      <c r="D9" s="18">
        <v>0.19</v>
      </c>
      <c r="E9" s="18">
        <v>0.05</v>
      </c>
      <c r="F9" s="18">
        <v>0.1</v>
      </c>
      <c r="G9" s="18">
        <v>0.7</v>
      </c>
      <c r="H9" s="18">
        <v>0</v>
      </c>
      <c r="I9" s="18">
        <v>0</v>
      </c>
      <c r="J9" s="18">
        <v>7.0000000000000007E-2</v>
      </c>
      <c r="K9" s="18">
        <v>0</v>
      </c>
      <c r="L9" s="18">
        <v>0</v>
      </c>
      <c r="M9" s="18">
        <v>0</v>
      </c>
      <c r="N9" s="18">
        <v>0</v>
      </c>
      <c r="O9" s="18">
        <v>0.25</v>
      </c>
      <c r="P9" s="18">
        <v>0</v>
      </c>
      <c r="Q9" s="18">
        <v>0.03</v>
      </c>
      <c r="R9" s="18">
        <v>0.1</v>
      </c>
    </row>
    <row r="10" spans="1:18" x14ac:dyDescent="0.2">
      <c r="A10" s="17" t="s">
        <v>244</v>
      </c>
      <c r="B10" s="17" t="s">
        <v>248</v>
      </c>
      <c r="C10" s="18">
        <v>7.5</v>
      </c>
      <c r="D10" s="18">
        <v>0.19</v>
      </c>
      <c r="E10" s="18">
        <v>0.05</v>
      </c>
      <c r="F10" s="18">
        <v>0.1</v>
      </c>
      <c r="G10" s="18">
        <v>0.25</v>
      </c>
      <c r="H10" s="18">
        <v>0</v>
      </c>
      <c r="I10" s="18">
        <v>0</v>
      </c>
      <c r="J10" s="18">
        <v>7.0000000000000007E-2</v>
      </c>
      <c r="K10" s="18">
        <v>0</v>
      </c>
      <c r="L10" s="18">
        <v>0</v>
      </c>
      <c r="M10" s="18">
        <v>0</v>
      </c>
      <c r="N10" s="18">
        <v>0</v>
      </c>
      <c r="O10" s="18">
        <v>0.25</v>
      </c>
      <c r="P10" s="18">
        <v>0</v>
      </c>
      <c r="Q10" s="18">
        <v>0.03</v>
      </c>
      <c r="R10" s="18">
        <v>0.1</v>
      </c>
    </row>
    <row r="11" spans="1:18" x14ac:dyDescent="0.2">
      <c r="A11" s="17" t="s">
        <v>244</v>
      </c>
      <c r="B11" s="17" t="s">
        <v>249</v>
      </c>
      <c r="C11" s="18">
        <v>8.5</v>
      </c>
      <c r="D11" s="18">
        <v>0.25</v>
      </c>
      <c r="E11" s="18">
        <v>0.05</v>
      </c>
      <c r="F11" s="18">
        <v>0.75</v>
      </c>
      <c r="G11" s="18">
        <v>0.45</v>
      </c>
      <c r="H11" s="18">
        <v>0</v>
      </c>
      <c r="I11" s="18">
        <v>0</v>
      </c>
      <c r="J11" s="18">
        <v>0.03</v>
      </c>
      <c r="K11" s="18">
        <v>0</v>
      </c>
      <c r="L11" s="18">
        <v>0</v>
      </c>
      <c r="M11" s="18">
        <v>0</v>
      </c>
      <c r="N11" s="18">
        <v>0</v>
      </c>
      <c r="O11" s="18">
        <v>0.2</v>
      </c>
      <c r="P11" s="18">
        <v>0</v>
      </c>
      <c r="Q11" s="18">
        <v>0.05</v>
      </c>
      <c r="R11" s="18">
        <v>0.15</v>
      </c>
    </row>
    <row r="12" spans="1:18" x14ac:dyDescent="0.2">
      <c r="A12" s="17" t="s">
        <v>250</v>
      </c>
      <c r="B12" s="17" t="s">
        <v>251</v>
      </c>
      <c r="C12" s="18">
        <v>11</v>
      </c>
      <c r="D12" s="18">
        <v>0.55000000000000004</v>
      </c>
      <c r="E12" s="18">
        <v>0.05</v>
      </c>
      <c r="F12" s="18">
        <v>0.45</v>
      </c>
      <c r="G12" s="18">
        <v>0.45</v>
      </c>
      <c r="H12" s="18">
        <v>0</v>
      </c>
      <c r="I12" s="18">
        <v>0.05</v>
      </c>
      <c r="J12" s="18">
        <v>0.1</v>
      </c>
      <c r="K12" s="18">
        <v>0</v>
      </c>
      <c r="L12" s="18">
        <v>0</v>
      </c>
      <c r="M12" s="18">
        <v>0.05</v>
      </c>
      <c r="N12" s="18">
        <v>0.05</v>
      </c>
      <c r="O12" s="18">
        <v>0.15</v>
      </c>
      <c r="P12" s="18">
        <v>0</v>
      </c>
      <c r="Q12" s="18">
        <v>0.05</v>
      </c>
      <c r="R12" s="18">
        <v>0.15</v>
      </c>
    </row>
    <row r="13" spans="1:18" x14ac:dyDescent="0.2">
      <c r="A13" s="17" t="s">
        <v>250</v>
      </c>
      <c r="B13" s="17" t="s">
        <v>398</v>
      </c>
      <c r="C13" s="18">
        <v>11</v>
      </c>
      <c r="D13" s="18">
        <v>0.55000000000000004</v>
      </c>
      <c r="E13" s="18">
        <v>0.1</v>
      </c>
      <c r="F13" s="18">
        <v>0.55000000000000004</v>
      </c>
      <c r="G13" s="18">
        <v>0.45</v>
      </c>
      <c r="H13" s="18">
        <v>0</v>
      </c>
      <c r="I13" s="18">
        <v>0.05</v>
      </c>
      <c r="J13" s="18">
        <v>0.1</v>
      </c>
      <c r="K13" s="18">
        <v>0</v>
      </c>
      <c r="L13" s="18">
        <v>0</v>
      </c>
      <c r="M13" s="18">
        <v>0.05</v>
      </c>
      <c r="N13" s="18">
        <v>0.05</v>
      </c>
      <c r="O13" s="18">
        <v>0.2</v>
      </c>
      <c r="P13" s="18">
        <v>0</v>
      </c>
      <c r="Q13" s="18">
        <v>0.05</v>
      </c>
      <c r="R13" s="18">
        <v>0.15</v>
      </c>
    </row>
    <row r="14" spans="1:18" x14ac:dyDescent="0.2">
      <c r="A14" s="17" t="s">
        <v>250</v>
      </c>
      <c r="B14" s="17" t="s">
        <v>252</v>
      </c>
      <c r="C14" s="18">
        <v>11</v>
      </c>
      <c r="D14" s="18">
        <v>0.65</v>
      </c>
      <c r="E14" s="18">
        <v>0.35</v>
      </c>
      <c r="F14" s="18">
        <v>0.55000000000000004</v>
      </c>
      <c r="G14" s="18">
        <v>0.45</v>
      </c>
      <c r="H14" s="18">
        <v>0</v>
      </c>
      <c r="I14" s="18">
        <v>0.15</v>
      </c>
      <c r="J14" s="18">
        <v>0.35</v>
      </c>
      <c r="K14" s="18">
        <v>0</v>
      </c>
      <c r="L14" s="18">
        <v>0</v>
      </c>
      <c r="M14" s="18">
        <v>0.1</v>
      </c>
      <c r="N14" s="18">
        <v>0</v>
      </c>
      <c r="O14" s="18">
        <v>0.2</v>
      </c>
      <c r="P14" s="18">
        <v>0</v>
      </c>
      <c r="Q14" s="18">
        <v>0.05</v>
      </c>
      <c r="R14" s="18">
        <v>0.15</v>
      </c>
    </row>
    <row r="15" spans="1:18" x14ac:dyDescent="0.2">
      <c r="A15" s="17" t="s">
        <v>250</v>
      </c>
      <c r="B15" s="17" t="s">
        <v>253</v>
      </c>
      <c r="C15" s="18">
        <v>10</v>
      </c>
      <c r="D15" s="18">
        <v>0.19</v>
      </c>
      <c r="E15" s="18">
        <v>0.05</v>
      </c>
      <c r="F15" s="18">
        <v>0.1</v>
      </c>
      <c r="G15" s="18">
        <v>0.45</v>
      </c>
      <c r="H15" s="18">
        <v>0</v>
      </c>
      <c r="I15" s="18">
        <v>0</v>
      </c>
      <c r="J15" s="18">
        <v>7.0000000000000007E-2</v>
      </c>
      <c r="K15" s="18">
        <v>0</v>
      </c>
      <c r="L15" s="18">
        <v>0</v>
      </c>
      <c r="M15" s="18">
        <v>0</v>
      </c>
      <c r="N15" s="18">
        <v>0</v>
      </c>
      <c r="O15" s="18">
        <v>0.15</v>
      </c>
      <c r="P15" s="18">
        <v>0</v>
      </c>
      <c r="Q15" s="18">
        <v>0.03</v>
      </c>
      <c r="R15" s="18">
        <v>0.1</v>
      </c>
    </row>
    <row r="16" spans="1:18" x14ac:dyDescent="0.2">
      <c r="A16" s="17" t="s">
        <v>250</v>
      </c>
      <c r="B16" s="17" t="s">
        <v>254</v>
      </c>
      <c r="C16" s="18">
        <v>11</v>
      </c>
      <c r="D16" s="18">
        <v>1</v>
      </c>
      <c r="E16" s="18">
        <v>0.1</v>
      </c>
      <c r="F16" s="18">
        <v>0.55000000000000004</v>
      </c>
      <c r="G16" s="18">
        <v>0.5</v>
      </c>
      <c r="H16" s="18">
        <v>0</v>
      </c>
      <c r="I16" s="18">
        <v>0.15</v>
      </c>
      <c r="J16" s="18">
        <v>0.15</v>
      </c>
      <c r="K16" s="18">
        <v>0</v>
      </c>
      <c r="L16" s="18">
        <v>0</v>
      </c>
      <c r="M16" s="18">
        <v>0.15</v>
      </c>
      <c r="N16" s="18">
        <v>0.05</v>
      </c>
      <c r="O16" s="18">
        <v>0.2</v>
      </c>
      <c r="P16" s="18">
        <v>0</v>
      </c>
      <c r="Q16" s="18">
        <v>0.05</v>
      </c>
      <c r="R16" s="18">
        <v>0.15</v>
      </c>
    </row>
    <row r="17" spans="1:18" x14ac:dyDescent="0.2">
      <c r="A17" s="17" t="s">
        <v>250</v>
      </c>
      <c r="B17" s="17" t="s">
        <v>255</v>
      </c>
      <c r="C17" s="18">
        <v>11.5</v>
      </c>
      <c r="D17" s="18">
        <v>0.25</v>
      </c>
      <c r="E17" s="18">
        <v>0.05</v>
      </c>
      <c r="F17" s="18">
        <v>0.8</v>
      </c>
      <c r="G17" s="18">
        <v>0.6</v>
      </c>
      <c r="H17" s="18">
        <v>0</v>
      </c>
      <c r="I17" s="18">
        <v>0</v>
      </c>
      <c r="J17" s="18">
        <v>7.0000000000000007E-2</v>
      </c>
      <c r="K17" s="18">
        <v>0</v>
      </c>
      <c r="L17" s="18">
        <v>0</v>
      </c>
      <c r="M17" s="18">
        <v>0</v>
      </c>
      <c r="N17" s="18">
        <v>0</v>
      </c>
      <c r="O17" s="18">
        <v>0.2</v>
      </c>
      <c r="P17" s="18">
        <v>0</v>
      </c>
      <c r="Q17" s="18">
        <v>0.05</v>
      </c>
      <c r="R17" s="18">
        <v>0.15</v>
      </c>
    </row>
    <row r="18" spans="1:18" x14ac:dyDescent="0.2">
      <c r="A18" s="17" t="s">
        <v>256</v>
      </c>
      <c r="B18" s="17" t="s">
        <v>257</v>
      </c>
      <c r="C18" s="18">
        <v>11.8</v>
      </c>
      <c r="D18" s="18">
        <v>0.19</v>
      </c>
      <c r="E18" s="18">
        <v>0.05</v>
      </c>
      <c r="F18" s="18">
        <v>0.1</v>
      </c>
      <c r="G18" s="18">
        <v>0.45</v>
      </c>
      <c r="H18" s="18">
        <v>0</v>
      </c>
      <c r="I18" s="18">
        <v>0</v>
      </c>
      <c r="J18" s="18">
        <v>7.0000000000000007E-2</v>
      </c>
      <c r="K18" s="18">
        <v>0</v>
      </c>
      <c r="L18" s="18">
        <v>0</v>
      </c>
      <c r="M18" s="18">
        <v>0</v>
      </c>
      <c r="N18" s="18">
        <v>0</v>
      </c>
      <c r="O18" s="18">
        <v>0.15</v>
      </c>
      <c r="P18" s="18">
        <v>0</v>
      </c>
      <c r="Q18" s="18">
        <v>0.03</v>
      </c>
      <c r="R18" s="18">
        <v>0.1</v>
      </c>
    </row>
    <row r="19" spans="1:18" x14ac:dyDescent="0.2">
      <c r="A19" s="17" t="s">
        <v>256</v>
      </c>
      <c r="B19" s="17" t="s">
        <v>258</v>
      </c>
      <c r="C19" s="18">
        <v>13.5</v>
      </c>
      <c r="D19" s="18">
        <v>0.65</v>
      </c>
      <c r="E19" s="18">
        <v>0.15</v>
      </c>
      <c r="F19" s="18">
        <v>0.55000000000000004</v>
      </c>
      <c r="G19" s="18">
        <v>0.1</v>
      </c>
      <c r="H19" s="18">
        <v>0</v>
      </c>
      <c r="I19" s="18">
        <v>0.1</v>
      </c>
      <c r="J19" s="18">
        <v>0.15</v>
      </c>
      <c r="K19" s="18">
        <v>0</v>
      </c>
      <c r="L19" s="18">
        <v>0</v>
      </c>
      <c r="M19" s="18">
        <v>0.1</v>
      </c>
      <c r="N19" s="18">
        <v>0</v>
      </c>
      <c r="O19" s="18">
        <v>0.2</v>
      </c>
      <c r="P19" s="18">
        <v>0</v>
      </c>
      <c r="Q19" s="18">
        <v>0.05</v>
      </c>
      <c r="R19" s="18">
        <v>0.15</v>
      </c>
    </row>
    <row r="20" spans="1:18" x14ac:dyDescent="0.2">
      <c r="A20" s="17" t="s">
        <v>256</v>
      </c>
      <c r="B20" s="17" t="s">
        <v>259</v>
      </c>
      <c r="C20" s="18">
        <v>13.5</v>
      </c>
      <c r="D20" s="18">
        <v>0.55000000000000004</v>
      </c>
      <c r="E20" s="18">
        <v>0.05</v>
      </c>
      <c r="F20" s="18">
        <v>0.35</v>
      </c>
      <c r="G20" s="18">
        <v>0</v>
      </c>
      <c r="H20" s="18">
        <v>0</v>
      </c>
      <c r="I20" s="18">
        <v>0</v>
      </c>
      <c r="J20" s="18">
        <v>0.1</v>
      </c>
      <c r="K20" s="18">
        <v>0</v>
      </c>
      <c r="L20" s="18">
        <v>0</v>
      </c>
      <c r="M20" s="18">
        <v>0</v>
      </c>
      <c r="N20" s="18">
        <v>0</v>
      </c>
      <c r="O20" s="18">
        <v>0.15</v>
      </c>
      <c r="P20" s="18">
        <v>0</v>
      </c>
      <c r="Q20" s="18">
        <v>0.05</v>
      </c>
      <c r="R20" s="18">
        <v>0.15</v>
      </c>
    </row>
    <row r="21" spans="1:18" x14ac:dyDescent="0.2">
      <c r="A21" s="17" t="s">
        <v>256</v>
      </c>
      <c r="B21" s="17" t="s">
        <v>260</v>
      </c>
      <c r="C21" s="18">
        <v>13.5</v>
      </c>
      <c r="D21" s="18">
        <v>1</v>
      </c>
      <c r="E21" s="18">
        <v>0.1</v>
      </c>
      <c r="F21" s="18">
        <v>0.55000000000000004</v>
      </c>
      <c r="G21" s="18">
        <v>0</v>
      </c>
      <c r="H21" s="18">
        <v>0</v>
      </c>
      <c r="I21" s="18">
        <v>0</v>
      </c>
      <c r="J21" s="18">
        <v>0.15</v>
      </c>
      <c r="K21" s="18">
        <v>0</v>
      </c>
      <c r="L21" s="18">
        <v>0</v>
      </c>
      <c r="M21" s="18">
        <v>0</v>
      </c>
      <c r="N21" s="18">
        <v>0</v>
      </c>
      <c r="O21" s="18">
        <v>0.15</v>
      </c>
      <c r="P21" s="18">
        <v>0</v>
      </c>
      <c r="Q21" s="18">
        <v>0.05</v>
      </c>
      <c r="R21" s="18">
        <v>0.25</v>
      </c>
    </row>
    <row r="22" spans="1:18" x14ac:dyDescent="0.2">
      <c r="A22" s="17" t="s">
        <v>256</v>
      </c>
      <c r="B22" s="17" t="s">
        <v>261</v>
      </c>
      <c r="C22" s="18">
        <v>11</v>
      </c>
      <c r="D22" s="18">
        <v>0.65</v>
      </c>
      <c r="E22" s="18">
        <v>0.1</v>
      </c>
      <c r="F22" s="18">
        <v>0.5</v>
      </c>
      <c r="G22" s="18">
        <v>0.1</v>
      </c>
      <c r="H22" s="18">
        <v>0</v>
      </c>
      <c r="I22" s="18">
        <v>0.05</v>
      </c>
      <c r="J22" s="18">
        <v>0.15</v>
      </c>
      <c r="K22" s="18">
        <v>0</v>
      </c>
      <c r="L22" s="18">
        <v>0</v>
      </c>
      <c r="M22" s="18">
        <v>0.05</v>
      </c>
      <c r="N22" s="18">
        <v>0.05</v>
      </c>
      <c r="O22" s="18">
        <v>0.15</v>
      </c>
      <c r="P22" s="18">
        <v>0</v>
      </c>
      <c r="Q22" s="18">
        <v>0.05</v>
      </c>
      <c r="R22" s="18">
        <v>0.15</v>
      </c>
    </row>
    <row r="23" spans="1:18" x14ac:dyDescent="0.2">
      <c r="A23" s="17" t="s">
        <v>256</v>
      </c>
      <c r="B23" s="17" t="s">
        <v>262</v>
      </c>
      <c r="C23" s="18">
        <v>13.5</v>
      </c>
      <c r="D23" s="18">
        <v>1</v>
      </c>
      <c r="E23" s="18">
        <v>0.2</v>
      </c>
      <c r="F23" s="18">
        <v>0.55000000000000004</v>
      </c>
      <c r="G23" s="18">
        <v>0.4</v>
      </c>
      <c r="H23" s="18">
        <v>0</v>
      </c>
      <c r="I23" s="18">
        <v>0</v>
      </c>
      <c r="J23" s="18">
        <v>0.3</v>
      </c>
      <c r="K23" s="18">
        <v>0</v>
      </c>
      <c r="L23" s="18">
        <v>0</v>
      </c>
      <c r="M23" s="18">
        <v>0</v>
      </c>
      <c r="N23" s="18">
        <v>0</v>
      </c>
      <c r="O23" s="18">
        <v>0.15</v>
      </c>
      <c r="P23" s="18">
        <v>0</v>
      </c>
      <c r="Q23" s="18">
        <v>0.05</v>
      </c>
      <c r="R23" s="18">
        <v>0.25</v>
      </c>
    </row>
    <row r="24" spans="1:18" x14ac:dyDescent="0.2">
      <c r="A24" s="17" t="s">
        <v>256</v>
      </c>
      <c r="B24" s="17" t="s">
        <v>263</v>
      </c>
      <c r="C24" s="18">
        <v>11.5</v>
      </c>
      <c r="D24" s="18">
        <v>0.25</v>
      </c>
      <c r="E24" s="18">
        <v>0.03</v>
      </c>
      <c r="F24" s="18">
        <v>0.75</v>
      </c>
      <c r="G24" s="18">
        <v>0.15</v>
      </c>
      <c r="H24" s="18">
        <v>0</v>
      </c>
      <c r="I24" s="18">
        <v>0</v>
      </c>
      <c r="J24" s="18">
        <v>0.03</v>
      </c>
      <c r="K24" s="18">
        <v>0</v>
      </c>
      <c r="L24" s="18">
        <v>0</v>
      </c>
      <c r="M24" s="18">
        <v>0</v>
      </c>
      <c r="N24" s="18">
        <v>0</v>
      </c>
      <c r="O24" s="18">
        <v>0.2</v>
      </c>
      <c r="P24" s="18">
        <v>0</v>
      </c>
      <c r="Q24" s="18">
        <v>0.05</v>
      </c>
      <c r="R24" s="18">
        <v>0.15</v>
      </c>
    </row>
    <row r="25" spans="1:18" x14ac:dyDescent="0.2">
      <c r="A25" s="17" t="s">
        <v>264</v>
      </c>
      <c r="B25" s="17" t="s">
        <v>265</v>
      </c>
      <c r="C25" s="18">
        <v>7</v>
      </c>
      <c r="D25" s="18">
        <v>1</v>
      </c>
      <c r="E25" s="18">
        <v>5</v>
      </c>
      <c r="F25" s="18">
        <v>0.65</v>
      </c>
      <c r="G25" s="18">
        <v>0.55000000000000004</v>
      </c>
      <c r="H25" s="18">
        <v>0.15</v>
      </c>
      <c r="I25" s="18">
        <v>0.45</v>
      </c>
      <c r="J25" s="18">
        <v>2</v>
      </c>
      <c r="K25" s="18">
        <v>0</v>
      </c>
      <c r="L25" s="18">
        <v>0</v>
      </c>
      <c r="M25" s="18">
        <v>0.28999999999999998</v>
      </c>
      <c r="N25" s="18">
        <v>0.15</v>
      </c>
      <c r="O25" s="18">
        <v>0.25</v>
      </c>
      <c r="P25" s="18">
        <v>0</v>
      </c>
      <c r="Q25" s="18">
        <v>0.05</v>
      </c>
      <c r="R25" s="18">
        <v>0.35</v>
      </c>
    </row>
    <row r="26" spans="1:18" x14ac:dyDescent="0.2">
      <c r="A26" s="17" t="s">
        <v>264</v>
      </c>
      <c r="B26" s="17" t="s">
        <v>266</v>
      </c>
      <c r="C26" s="18">
        <v>6</v>
      </c>
      <c r="D26" s="18">
        <v>0.6</v>
      </c>
      <c r="E26" s="18">
        <v>3.6</v>
      </c>
      <c r="F26" s="18">
        <v>0.55000000000000004</v>
      </c>
      <c r="G26" s="18">
        <v>0.45</v>
      </c>
      <c r="H26" s="18">
        <v>0</v>
      </c>
      <c r="I26" s="18">
        <v>0.1</v>
      </c>
      <c r="J26" s="18">
        <v>0.2</v>
      </c>
      <c r="K26" s="18">
        <v>0</v>
      </c>
      <c r="L26" s="18">
        <v>0</v>
      </c>
      <c r="M26" s="18">
        <v>0.1</v>
      </c>
      <c r="N26" s="18">
        <v>0.05</v>
      </c>
      <c r="O26" s="18">
        <v>0.25</v>
      </c>
      <c r="P26" s="18">
        <v>0</v>
      </c>
      <c r="Q26" s="18">
        <v>0.05</v>
      </c>
      <c r="R26" s="18">
        <v>0.15</v>
      </c>
    </row>
    <row r="27" spans="1:18" x14ac:dyDescent="0.2">
      <c r="A27" s="17" t="s">
        <v>264</v>
      </c>
      <c r="B27" s="17" t="s">
        <v>267</v>
      </c>
      <c r="C27" s="18">
        <v>5.5</v>
      </c>
      <c r="D27" s="18">
        <v>0.65</v>
      </c>
      <c r="E27" s="18">
        <v>1.5</v>
      </c>
      <c r="F27" s="18">
        <v>0.55000000000000004</v>
      </c>
      <c r="G27" s="18">
        <v>0.65</v>
      </c>
      <c r="H27" s="18">
        <v>0</v>
      </c>
      <c r="I27" s="18">
        <v>0.25</v>
      </c>
      <c r="J27" s="18">
        <v>0.15</v>
      </c>
      <c r="K27" s="18">
        <v>0</v>
      </c>
      <c r="L27" s="18">
        <v>0</v>
      </c>
      <c r="M27" s="18">
        <v>0.15</v>
      </c>
      <c r="N27" s="18">
        <v>0.05</v>
      </c>
      <c r="O27" s="18">
        <v>0.25</v>
      </c>
      <c r="P27" s="18">
        <v>0</v>
      </c>
      <c r="Q27" s="18">
        <v>0.05</v>
      </c>
      <c r="R27" s="18">
        <v>0.15</v>
      </c>
    </row>
    <row r="28" spans="1:18" x14ac:dyDescent="0.2">
      <c r="A28" s="17" t="s">
        <v>264</v>
      </c>
      <c r="B28" s="17" t="s">
        <v>268</v>
      </c>
      <c r="C28" s="18">
        <v>6</v>
      </c>
      <c r="D28" s="18">
        <v>0.6</v>
      </c>
      <c r="E28" s="18">
        <v>3.6</v>
      </c>
      <c r="F28" s="18">
        <v>0.55000000000000004</v>
      </c>
      <c r="G28" s="18">
        <v>0.05</v>
      </c>
      <c r="H28" s="18">
        <v>0</v>
      </c>
      <c r="I28" s="18">
        <v>0.1</v>
      </c>
      <c r="J28" s="18">
        <v>0.2</v>
      </c>
      <c r="K28" s="18">
        <v>0</v>
      </c>
      <c r="L28" s="18">
        <v>0</v>
      </c>
      <c r="M28" s="18">
        <v>0.1</v>
      </c>
      <c r="N28" s="18">
        <v>0.05</v>
      </c>
      <c r="O28" s="18">
        <v>0.25</v>
      </c>
      <c r="P28" s="18">
        <v>0</v>
      </c>
      <c r="Q28" s="18">
        <v>0.05</v>
      </c>
      <c r="R28" s="18">
        <v>0.15</v>
      </c>
    </row>
    <row r="29" spans="1:18" x14ac:dyDescent="0.2">
      <c r="A29" s="17" t="s">
        <v>264</v>
      </c>
      <c r="B29" s="17" t="s">
        <v>269</v>
      </c>
      <c r="C29" s="18">
        <v>7.5</v>
      </c>
      <c r="D29" s="18">
        <v>0.25</v>
      </c>
      <c r="E29" s="18">
        <v>0.7</v>
      </c>
      <c r="F29" s="18">
        <v>0.15</v>
      </c>
      <c r="G29" s="18">
        <v>0.45</v>
      </c>
      <c r="H29" s="18">
        <v>0</v>
      </c>
      <c r="I29" s="18">
        <v>0</v>
      </c>
      <c r="J29" s="18">
        <v>7.0000000000000007E-2</v>
      </c>
      <c r="K29" s="18">
        <v>0</v>
      </c>
      <c r="L29" s="18">
        <v>0</v>
      </c>
      <c r="M29" s="18">
        <v>0</v>
      </c>
      <c r="N29" s="18">
        <v>0</v>
      </c>
      <c r="O29" s="18">
        <v>0.2</v>
      </c>
      <c r="P29" s="18">
        <v>0</v>
      </c>
      <c r="Q29" s="18">
        <v>0.03</v>
      </c>
      <c r="R29" s="18">
        <v>0.1</v>
      </c>
    </row>
    <row r="30" spans="1:18" x14ac:dyDescent="0.2">
      <c r="A30" s="17" t="s">
        <v>264</v>
      </c>
      <c r="B30" s="17" t="s">
        <v>270</v>
      </c>
      <c r="C30" s="18">
        <v>7.5</v>
      </c>
      <c r="D30" s="18">
        <v>0.19</v>
      </c>
      <c r="E30" s="18">
        <v>1.6</v>
      </c>
      <c r="F30" s="18">
        <v>0.1</v>
      </c>
      <c r="G30" s="18">
        <v>0.7</v>
      </c>
      <c r="H30" s="18">
        <v>0</v>
      </c>
      <c r="I30" s="18">
        <v>0</v>
      </c>
      <c r="J30" s="18">
        <v>7.0000000000000007E-2</v>
      </c>
      <c r="K30" s="18">
        <v>0</v>
      </c>
      <c r="L30" s="18">
        <v>0</v>
      </c>
      <c r="M30" s="18">
        <v>0</v>
      </c>
      <c r="N30" s="18">
        <v>0</v>
      </c>
      <c r="O30" s="18">
        <v>0.25</v>
      </c>
      <c r="P30" s="18">
        <v>0</v>
      </c>
      <c r="Q30" s="18">
        <v>0.03</v>
      </c>
      <c r="R30" s="18">
        <v>0.1</v>
      </c>
    </row>
    <row r="31" spans="1:18" x14ac:dyDescent="0.2">
      <c r="A31" s="17" t="s">
        <v>271</v>
      </c>
      <c r="B31" s="17" t="s">
        <v>272</v>
      </c>
      <c r="C31" s="18">
        <v>11</v>
      </c>
      <c r="D31" s="18">
        <v>1.3</v>
      </c>
      <c r="E31" s="18">
        <v>4</v>
      </c>
      <c r="F31" s="18">
        <v>0.55000000000000004</v>
      </c>
      <c r="G31" s="18">
        <v>0.55000000000000004</v>
      </c>
      <c r="H31" s="18">
        <v>0.15</v>
      </c>
      <c r="I31" s="18">
        <v>0.55000000000000004</v>
      </c>
      <c r="J31" s="18">
        <v>1.2</v>
      </c>
      <c r="K31" s="18">
        <v>0</v>
      </c>
      <c r="L31" s="18">
        <v>0</v>
      </c>
      <c r="M31" s="18">
        <v>0.28999999999999998</v>
      </c>
      <c r="N31" s="18">
        <v>0.15</v>
      </c>
      <c r="O31" s="18">
        <v>0.25</v>
      </c>
      <c r="P31" s="18">
        <v>0</v>
      </c>
      <c r="Q31" s="18">
        <v>0.05</v>
      </c>
      <c r="R31" s="18">
        <v>0.25</v>
      </c>
    </row>
    <row r="32" spans="1:18" x14ac:dyDescent="0.2">
      <c r="A32" s="17" t="s">
        <v>271</v>
      </c>
      <c r="B32" s="17" t="s">
        <v>273</v>
      </c>
      <c r="C32" s="18">
        <v>12</v>
      </c>
      <c r="D32" s="18">
        <v>1.1000000000000001</v>
      </c>
      <c r="E32" s="18">
        <v>2.5</v>
      </c>
      <c r="F32" s="18">
        <v>0.55000000000000004</v>
      </c>
      <c r="G32" s="18">
        <v>0.3</v>
      </c>
      <c r="H32" s="18">
        <v>0.15</v>
      </c>
      <c r="I32" s="18">
        <v>0.45</v>
      </c>
      <c r="J32" s="18">
        <v>1.7</v>
      </c>
      <c r="K32" s="18">
        <v>0</v>
      </c>
      <c r="L32" s="18">
        <v>0</v>
      </c>
      <c r="M32" s="18">
        <v>0.25</v>
      </c>
      <c r="N32" s="18">
        <v>0.15</v>
      </c>
      <c r="O32" s="18">
        <v>0.25</v>
      </c>
      <c r="P32" s="18">
        <v>0</v>
      </c>
      <c r="Q32" s="18">
        <v>0.05</v>
      </c>
      <c r="R32" s="18">
        <v>0.25</v>
      </c>
    </row>
    <row r="33" spans="1:18" x14ac:dyDescent="0.2">
      <c r="A33" s="17" t="s">
        <v>271</v>
      </c>
      <c r="B33" s="17" t="s">
        <v>274</v>
      </c>
      <c r="C33" s="18">
        <v>9.5</v>
      </c>
      <c r="D33" s="18">
        <v>0.8</v>
      </c>
      <c r="E33" s="18">
        <v>3.5</v>
      </c>
      <c r="F33" s="18">
        <v>0.65</v>
      </c>
      <c r="G33" s="18">
        <v>0.55000000000000004</v>
      </c>
      <c r="H33" s="18">
        <v>0</v>
      </c>
      <c r="I33" s="18">
        <v>0.35</v>
      </c>
      <c r="J33" s="18">
        <v>1.2</v>
      </c>
      <c r="K33" s="18">
        <v>0</v>
      </c>
      <c r="L33" s="18">
        <v>0</v>
      </c>
      <c r="M33" s="18">
        <v>0.25</v>
      </c>
      <c r="N33" s="18">
        <v>0.15</v>
      </c>
      <c r="O33" s="18">
        <v>0.25</v>
      </c>
      <c r="P33" s="18">
        <v>0</v>
      </c>
      <c r="Q33" s="18">
        <v>0.05</v>
      </c>
      <c r="R33" s="18">
        <v>0.25</v>
      </c>
    </row>
    <row r="34" spans="1:18" x14ac:dyDescent="0.2">
      <c r="A34" s="17" t="s">
        <v>271</v>
      </c>
      <c r="B34" s="17" t="s">
        <v>275</v>
      </c>
      <c r="C34" s="18">
        <v>8</v>
      </c>
      <c r="D34" s="18">
        <v>0.8</v>
      </c>
      <c r="E34" s="18">
        <v>4</v>
      </c>
      <c r="F34" s="18">
        <v>0.65</v>
      </c>
      <c r="G34" s="18">
        <v>0.6</v>
      </c>
      <c r="H34" s="18">
        <v>0</v>
      </c>
      <c r="I34" s="18">
        <v>0.3</v>
      </c>
      <c r="J34" s="18">
        <v>0.65</v>
      </c>
      <c r="K34" s="18">
        <v>0</v>
      </c>
      <c r="L34" s="18">
        <v>0</v>
      </c>
      <c r="M34" s="18">
        <v>0.15</v>
      </c>
      <c r="N34" s="18">
        <v>0.1</v>
      </c>
      <c r="O34" s="18">
        <v>0.25</v>
      </c>
      <c r="P34" s="18">
        <v>0</v>
      </c>
      <c r="Q34" s="18">
        <v>0.05</v>
      </c>
      <c r="R34" s="18">
        <v>0.25</v>
      </c>
    </row>
    <row r="35" spans="1:18" x14ac:dyDescent="0.2">
      <c r="A35" s="17" t="s">
        <v>271</v>
      </c>
      <c r="B35" s="17" t="s">
        <v>276</v>
      </c>
      <c r="C35" s="18">
        <v>9.6999999999999993</v>
      </c>
      <c r="D35" s="18">
        <v>0.8</v>
      </c>
      <c r="E35" s="18">
        <v>1.3</v>
      </c>
      <c r="F35" s="18">
        <v>0.55000000000000004</v>
      </c>
      <c r="G35" s="18">
        <v>0.65</v>
      </c>
      <c r="H35" s="18">
        <v>0</v>
      </c>
      <c r="I35" s="18">
        <v>0.2</v>
      </c>
      <c r="J35" s="18">
        <v>0.8</v>
      </c>
      <c r="K35" s="18">
        <v>0</v>
      </c>
      <c r="L35" s="18">
        <v>0</v>
      </c>
      <c r="M35" s="18">
        <v>0.1</v>
      </c>
      <c r="N35" s="18">
        <v>0.1</v>
      </c>
      <c r="O35" s="18">
        <v>0.2</v>
      </c>
      <c r="P35" s="18">
        <v>0</v>
      </c>
      <c r="Q35" s="18">
        <v>0.05</v>
      </c>
      <c r="R35" s="18">
        <v>0.25</v>
      </c>
    </row>
    <row r="36" spans="1:18" x14ac:dyDescent="0.2">
      <c r="A36" s="17" t="s">
        <v>271</v>
      </c>
      <c r="B36" s="17" t="s">
        <v>277</v>
      </c>
      <c r="C36" s="18">
        <v>11</v>
      </c>
      <c r="D36" s="18">
        <v>1.3</v>
      </c>
      <c r="E36" s="18">
        <v>4</v>
      </c>
      <c r="F36" s="18">
        <v>0.55000000000000004</v>
      </c>
      <c r="G36" s="18">
        <v>0.55000000000000004</v>
      </c>
      <c r="H36" s="18">
        <v>0.15</v>
      </c>
      <c r="I36" s="18">
        <v>0.55000000000000004</v>
      </c>
      <c r="J36" s="18">
        <v>3</v>
      </c>
      <c r="K36" s="18">
        <v>0</v>
      </c>
      <c r="L36" s="18">
        <v>0</v>
      </c>
      <c r="M36" s="18">
        <v>0.28999999999999998</v>
      </c>
      <c r="N36" s="18">
        <v>0.15</v>
      </c>
      <c r="O36" s="18">
        <v>0.25</v>
      </c>
      <c r="P36" s="18">
        <v>0</v>
      </c>
      <c r="Q36" s="18">
        <v>0.05</v>
      </c>
      <c r="R36" s="18">
        <v>0.25</v>
      </c>
    </row>
    <row r="37" spans="1:18" x14ac:dyDescent="0.2">
      <c r="A37" s="17" t="s">
        <v>271</v>
      </c>
      <c r="B37" s="17" t="s">
        <v>278</v>
      </c>
      <c r="C37" s="18">
        <v>8</v>
      </c>
      <c r="D37" s="18">
        <v>0.8</v>
      </c>
      <c r="E37" s="18">
        <v>2.5</v>
      </c>
      <c r="F37" s="18">
        <v>0.65</v>
      </c>
      <c r="G37" s="18">
        <v>0.35</v>
      </c>
      <c r="H37" s="18">
        <v>0</v>
      </c>
      <c r="I37" s="18">
        <v>0.35</v>
      </c>
      <c r="J37" s="18">
        <v>1</v>
      </c>
      <c r="K37" s="18">
        <v>0</v>
      </c>
      <c r="L37" s="18">
        <v>0</v>
      </c>
      <c r="M37" s="18">
        <v>0.25</v>
      </c>
      <c r="N37" s="18">
        <v>0.15</v>
      </c>
      <c r="O37" s="18">
        <v>0.25</v>
      </c>
      <c r="P37" s="18">
        <v>0</v>
      </c>
      <c r="Q37" s="18">
        <v>0.05</v>
      </c>
      <c r="R37" s="18">
        <v>0.15</v>
      </c>
    </row>
    <row r="38" spans="1:18" x14ac:dyDescent="0.2">
      <c r="A38" s="17" t="s">
        <v>279</v>
      </c>
      <c r="B38" s="17" t="s">
        <v>280</v>
      </c>
      <c r="C38" s="18">
        <v>13.5</v>
      </c>
      <c r="D38" s="18">
        <v>0.8</v>
      </c>
      <c r="E38" s="18">
        <v>1</v>
      </c>
      <c r="F38" s="18">
        <v>0.55000000000000004</v>
      </c>
      <c r="G38" s="18">
        <v>0.35</v>
      </c>
      <c r="H38" s="18">
        <v>0.1</v>
      </c>
      <c r="I38" s="18">
        <v>0.3</v>
      </c>
      <c r="J38" s="18">
        <v>0.55000000000000004</v>
      </c>
      <c r="K38" s="18">
        <v>0</v>
      </c>
      <c r="L38" s="18">
        <v>0</v>
      </c>
      <c r="M38" s="18">
        <v>0.2</v>
      </c>
      <c r="N38" s="18">
        <v>0.1</v>
      </c>
      <c r="O38" s="18">
        <v>0.2</v>
      </c>
      <c r="P38" s="18">
        <v>0</v>
      </c>
      <c r="Q38" s="18">
        <v>0.05</v>
      </c>
      <c r="R38" s="18">
        <v>0.25</v>
      </c>
    </row>
    <row r="39" spans="1:18" x14ac:dyDescent="0.2">
      <c r="A39" s="17" t="s">
        <v>279</v>
      </c>
      <c r="B39" s="17" t="s">
        <v>281</v>
      </c>
      <c r="C39" s="18">
        <v>13.5</v>
      </c>
      <c r="D39" s="18">
        <v>1.3</v>
      </c>
      <c r="E39" s="18">
        <v>1.2</v>
      </c>
      <c r="F39" s="18">
        <v>0.55000000000000004</v>
      </c>
      <c r="G39" s="18">
        <v>0.35</v>
      </c>
      <c r="H39" s="18">
        <v>0.1</v>
      </c>
      <c r="I39" s="18">
        <v>0.3</v>
      </c>
      <c r="J39" s="18">
        <v>0.55000000000000004</v>
      </c>
      <c r="K39" s="18">
        <v>0</v>
      </c>
      <c r="L39" s="18">
        <v>0</v>
      </c>
      <c r="M39" s="18">
        <v>0.2</v>
      </c>
      <c r="N39" s="18">
        <v>0.1</v>
      </c>
      <c r="O39" s="18">
        <v>0.2</v>
      </c>
      <c r="P39" s="18">
        <v>0</v>
      </c>
      <c r="Q39" s="18">
        <v>0.05</v>
      </c>
      <c r="R39" s="18">
        <v>0.25</v>
      </c>
    </row>
    <row r="40" spans="1:18" x14ac:dyDescent="0.2">
      <c r="A40" s="17" t="s">
        <v>279</v>
      </c>
      <c r="B40" s="17" t="s">
        <v>282</v>
      </c>
      <c r="C40" s="18">
        <v>13.5</v>
      </c>
      <c r="D40" s="18">
        <v>1.1000000000000001</v>
      </c>
      <c r="E40" s="18">
        <v>0.4</v>
      </c>
      <c r="F40" s="18">
        <v>0.5</v>
      </c>
      <c r="G40" s="18">
        <v>0.4</v>
      </c>
      <c r="H40" s="18">
        <v>0.05</v>
      </c>
      <c r="I40" s="18">
        <v>0.2</v>
      </c>
      <c r="J40" s="18">
        <v>0.5</v>
      </c>
      <c r="K40" s="18">
        <v>0</v>
      </c>
      <c r="L40" s="18">
        <v>0</v>
      </c>
      <c r="M40" s="18">
        <v>0.2</v>
      </c>
      <c r="N40" s="18">
        <v>0.1</v>
      </c>
      <c r="O40" s="18">
        <v>0.15</v>
      </c>
      <c r="P40" s="18">
        <v>0</v>
      </c>
      <c r="Q40" s="18">
        <v>0.05</v>
      </c>
      <c r="R40" s="18">
        <v>0.25</v>
      </c>
    </row>
    <row r="41" spans="1:18" x14ac:dyDescent="0.2">
      <c r="A41" s="17" t="s">
        <v>283</v>
      </c>
      <c r="B41" s="17" t="s">
        <v>284</v>
      </c>
      <c r="C41" s="18">
        <v>13.5</v>
      </c>
      <c r="D41" s="18">
        <v>0.7</v>
      </c>
      <c r="E41" s="18">
        <v>1.5</v>
      </c>
      <c r="F41" s="18">
        <v>0.35</v>
      </c>
      <c r="G41" s="18">
        <v>1.5</v>
      </c>
      <c r="H41" s="18">
        <v>0</v>
      </c>
      <c r="I41" s="18">
        <v>1.3</v>
      </c>
      <c r="J41" s="18">
        <v>0.35</v>
      </c>
      <c r="K41" s="18">
        <v>0</v>
      </c>
      <c r="L41" s="18">
        <v>0</v>
      </c>
      <c r="M41" s="18">
        <v>0</v>
      </c>
      <c r="N41" s="18">
        <v>0</v>
      </c>
      <c r="O41" s="18">
        <v>0.25</v>
      </c>
      <c r="P41" s="18">
        <v>0</v>
      </c>
      <c r="Q41" s="18">
        <v>0.05</v>
      </c>
      <c r="R41" s="18">
        <v>0.15</v>
      </c>
    </row>
    <row r="42" spans="1:18" x14ac:dyDescent="0.2">
      <c r="A42" s="17" t="s">
        <v>283</v>
      </c>
      <c r="B42" s="17" t="s">
        <v>285</v>
      </c>
      <c r="C42" s="18">
        <v>18</v>
      </c>
      <c r="D42" s="18">
        <v>1.3</v>
      </c>
      <c r="E42" s="18">
        <v>5</v>
      </c>
      <c r="F42" s="18">
        <v>0.5</v>
      </c>
      <c r="G42" s="18">
        <v>0.65</v>
      </c>
      <c r="H42" s="18">
        <v>0</v>
      </c>
      <c r="I42" s="18">
        <v>0.3</v>
      </c>
      <c r="J42" s="18">
        <v>1.5</v>
      </c>
      <c r="K42" s="18">
        <v>0</v>
      </c>
      <c r="L42" s="18">
        <v>0</v>
      </c>
      <c r="M42" s="18">
        <v>0</v>
      </c>
      <c r="N42" s="18">
        <v>0.15</v>
      </c>
      <c r="O42" s="18">
        <v>0.25</v>
      </c>
      <c r="P42" s="18">
        <v>0</v>
      </c>
      <c r="Q42" s="18">
        <v>0.05</v>
      </c>
      <c r="R42" s="18">
        <v>0.25</v>
      </c>
    </row>
    <row r="43" spans="1:18" x14ac:dyDescent="0.2">
      <c r="A43" s="17" t="s">
        <v>283</v>
      </c>
      <c r="B43" s="17" t="s">
        <v>286</v>
      </c>
      <c r="C43" s="18">
        <v>16.5</v>
      </c>
      <c r="D43" s="18">
        <v>1.2</v>
      </c>
      <c r="E43" s="18">
        <v>4</v>
      </c>
      <c r="F43" s="18">
        <v>0.6</v>
      </c>
      <c r="G43" s="18">
        <v>0.9</v>
      </c>
      <c r="H43" s="18">
        <v>0.3</v>
      </c>
      <c r="I43" s="18">
        <v>0.3</v>
      </c>
      <c r="J43" s="18">
        <v>1</v>
      </c>
      <c r="K43" s="18">
        <v>0</v>
      </c>
      <c r="L43" s="18">
        <v>0</v>
      </c>
      <c r="M43" s="18">
        <v>0</v>
      </c>
      <c r="N43" s="18">
        <v>0.3</v>
      </c>
      <c r="O43" s="18">
        <v>0.15</v>
      </c>
      <c r="P43" s="18">
        <v>0</v>
      </c>
      <c r="Q43" s="18">
        <v>0.05</v>
      </c>
      <c r="R43" s="18">
        <v>0.25</v>
      </c>
    </row>
    <row r="44" spans="1:18" x14ac:dyDescent="0.2">
      <c r="A44" s="17" t="s">
        <v>287</v>
      </c>
      <c r="B44" s="17" t="s">
        <v>288</v>
      </c>
      <c r="C44" s="18">
        <v>0.55000000000000004</v>
      </c>
      <c r="D44" s="18">
        <v>0.55000000000000004</v>
      </c>
      <c r="E44" s="18">
        <v>0.05</v>
      </c>
      <c r="F44" s="18">
        <v>0.45</v>
      </c>
      <c r="G44" s="18">
        <v>3.5</v>
      </c>
      <c r="H44" s="18">
        <v>0</v>
      </c>
      <c r="I44" s="18">
        <v>0</v>
      </c>
      <c r="J44" s="18">
        <v>0.1</v>
      </c>
      <c r="K44" s="18">
        <v>0</v>
      </c>
      <c r="L44" s="18">
        <v>0</v>
      </c>
      <c r="M44" s="18">
        <v>0</v>
      </c>
      <c r="N44" s="18">
        <v>0</v>
      </c>
      <c r="O44" s="18">
        <v>0.2</v>
      </c>
      <c r="P44" s="18">
        <v>0</v>
      </c>
      <c r="Q44" s="18">
        <v>0.05</v>
      </c>
      <c r="R44" s="18">
        <v>0.15</v>
      </c>
    </row>
    <row r="45" spans="1:18" x14ac:dyDescent="0.2">
      <c r="A45" s="17" t="s">
        <v>287</v>
      </c>
      <c r="B45" s="17" t="s">
        <v>289</v>
      </c>
      <c r="C45" s="18">
        <v>2.5</v>
      </c>
      <c r="D45" s="18">
        <v>1</v>
      </c>
      <c r="E45" s="18">
        <v>0.1</v>
      </c>
      <c r="F45" s="18">
        <v>0.55000000000000004</v>
      </c>
      <c r="G45" s="18">
        <v>10.5</v>
      </c>
      <c r="H45" s="18">
        <v>0</v>
      </c>
      <c r="I45" s="18">
        <v>0.1</v>
      </c>
      <c r="J45" s="18">
        <v>0.25</v>
      </c>
      <c r="K45" s="18">
        <v>0</v>
      </c>
      <c r="L45" s="18">
        <v>0</v>
      </c>
      <c r="M45" s="18">
        <v>0.1</v>
      </c>
      <c r="N45" s="18">
        <v>0.1</v>
      </c>
      <c r="O45" s="18">
        <v>0.2</v>
      </c>
      <c r="P45" s="18">
        <v>0</v>
      </c>
      <c r="Q45" s="18">
        <v>0.05</v>
      </c>
      <c r="R45" s="18">
        <v>0.15</v>
      </c>
    </row>
    <row r="46" spans="1:18" x14ac:dyDescent="0.2">
      <c r="A46" s="17" t="s">
        <v>287</v>
      </c>
      <c r="B46" s="17" t="s">
        <v>290</v>
      </c>
      <c r="C46" s="18">
        <v>0.55000000000000004</v>
      </c>
      <c r="D46" s="18">
        <v>0.55000000000000004</v>
      </c>
      <c r="E46" s="18">
        <v>0.1</v>
      </c>
      <c r="F46" s="18">
        <v>0.45</v>
      </c>
      <c r="G46" s="18">
        <v>6.8</v>
      </c>
      <c r="H46" s="18">
        <v>0</v>
      </c>
      <c r="I46" s="18">
        <v>0</v>
      </c>
      <c r="J46" s="18">
        <v>0.1</v>
      </c>
      <c r="K46" s="18">
        <v>0</v>
      </c>
      <c r="L46" s="18">
        <v>0</v>
      </c>
      <c r="M46" s="18">
        <v>0</v>
      </c>
      <c r="N46" s="18">
        <v>0</v>
      </c>
      <c r="O46" s="18">
        <v>0.2</v>
      </c>
      <c r="P46" s="18">
        <v>0</v>
      </c>
      <c r="Q46" s="18">
        <v>0.05</v>
      </c>
      <c r="R46" s="18">
        <v>0.15</v>
      </c>
    </row>
    <row r="47" spans="1:18" x14ac:dyDescent="0.2">
      <c r="A47" s="17" t="s">
        <v>287</v>
      </c>
      <c r="B47" s="17" t="s">
        <v>291</v>
      </c>
      <c r="C47" s="18">
        <v>1.5</v>
      </c>
      <c r="D47" s="18">
        <v>0.55000000000000004</v>
      </c>
      <c r="E47" s="18">
        <v>0.05</v>
      </c>
      <c r="F47" s="18">
        <v>0.45</v>
      </c>
      <c r="G47" s="18">
        <v>6.5</v>
      </c>
      <c r="H47" s="18">
        <v>0</v>
      </c>
      <c r="I47" s="18">
        <v>0</v>
      </c>
      <c r="J47" s="18">
        <v>0.1</v>
      </c>
      <c r="K47" s="18">
        <v>0</v>
      </c>
      <c r="L47" s="18">
        <v>0</v>
      </c>
      <c r="M47" s="18">
        <v>0</v>
      </c>
      <c r="N47" s="18">
        <v>0</v>
      </c>
      <c r="O47" s="18">
        <v>0.2</v>
      </c>
      <c r="P47" s="18">
        <v>0</v>
      </c>
      <c r="Q47" s="18">
        <v>0.05</v>
      </c>
      <c r="R47" s="18">
        <v>0.15</v>
      </c>
    </row>
    <row r="48" spans="1:18" x14ac:dyDescent="0.2">
      <c r="A48" s="17" t="s">
        <v>287</v>
      </c>
      <c r="B48" s="17" t="s">
        <v>292</v>
      </c>
      <c r="C48" s="18">
        <v>2.6</v>
      </c>
      <c r="D48" s="18">
        <v>0.25</v>
      </c>
      <c r="E48" s="18">
        <v>0.05</v>
      </c>
      <c r="F48" s="18">
        <v>0.8</v>
      </c>
      <c r="G48" s="18">
        <v>6</v>
      </c>
      <c r="H48" s="18">
        <v>0</v>
      </c>
      <c r="I48" s="18">
        <v>0</v>
      </c>
      <c r="J48" s="18">
        <v>7.0000000000000007E-2</v>
      </c>
      <c r="K48" s="18">
        <v>0</v>
      </c>
      <c r="L48" s="18">
        <v>0</v>
      </c>
      <c r="M48" s="18">
        <v>0</v>
      </c>
      <c r="N48" s="18">
        <v>0</v>
      </c>
      <c r="O48" s="18">
        <v>0.25</v>
      </c>
      <c r="P48" s="18">
        <v>0</v>
      </c>
      <c r="Q48" s="18">
        <v>0.05</v>
      </c>
      <c r="R48" s="18">
        <v>0.15</v>
      </c>
    </row>
    <row r="49" spans="1:18" x14ac:dyDescent="0.2">
      <c r="A49" s="17" t="s">
        <v>293</v>
      </c>
      <c r="B49" s="17" t="s">
        <v>294</v>
      </c>
      <c r="C49" s="18">
        <v>9.5</v>
      </c>
      <c r="D49" s="18">
        <v>0.45</v>
      </c>
      <c r="E49" s="18">
        <v>0.1</v>
      </c>
      <c r="F49" s="18">
        <v>0.45</v>
      </c>
      <c r="G49" s="18">
        <v>0.5</v>
      </c>
      <c r="H49" s="18">
        <v>0</v>
      </c>
      <c r="I49" s="18">
        <v>0</v>
      </c>
      <c r="J49" s="18">
        <v>10.5</v>
      </c>
      <c r="K49" s="18">
        <v>0</v>
      </c>
      <c r="L49" s="18">
        <v>0</v>
      </c>
      <c r="M49" s="18">
        <v>0</v>
      </c>
      <c r="N49" s="18">
        <v>0</v>
      </c>
      <c r="O49" s="18">
        <v>0.15</v>
      </c>
      <c r="P49" s="18">
        <v>0</v>
      </c>
      <c r="Q49" s="18">
        <v>0.05</v>
      </c>
      <c r="R49" s="18">
        <v>0.15</v>
      </c>
    </row>
    <row r="50" spans="1:18" x14ac:dyDescent="0.2">
      <c r="A50" t="s">
        <v>299</v>
      </c>
      <c r="B50" t="s">
        <v>300</v>
      </c>
      <c r="C50" s="19">
        <v>0.2</v>
      </c>
      <c r="D50" s="19">
        <v>1.7</v>
      </c>
      <c r="E50" s="19">
        <v>0.2</v>
      </c>
      <c r="F50" s="19">
        <v>0.15</v>
      </c>
      <c r="G50" s="19">
        <v>4.5</v>
      </c>
      <c r="H50" s="19">
        <v>0</v>
      </c>
      <c r="I50" s="19">
        <v>0</v>
      </c>
      <c r="J50" s="19">
        <v>0.3</v>
      </c>
      <c r="K50" s="18">
        <v>0</v>
      </c>
      <c r="L50" s="18">
        <v>0</v>
      </c>
      <c r="M50" s="19">
        <v>0</v>
      </c>
      <c r="N50" s="19">
        <v>0</v>
      </c>
      <c r="O50" s="19">
        <v>0.2</v>
      </c>
      <c r="P50" s="18">
        <v>0</v>
      </c>
      <c r="Q50" s="19">
        <v>0</v>
      </c>
      <c r="R50" s="19">
        <v>0</v>
      </c>
    </row>
    <row r="51" spans="1:18" ht="28" x14ac:dyDescent="0.2">
      <c r="A51" s="20" t="s">
        <v>301</v>
      </c>
      <c r="B51" t="s">
        <v>302</v>
      </c>
      <c r="C51" s="19">
        <v>10.5</v>
      </c>
      <c r="D51" s="19">
        <v>0.15</v>
      </c>
      <c r="E51" s="19">
        <v>0.05</v>
      </c>
      <c r="F51" s="19">
        <v>0.6</v>
      </c>
      <c r="G51" s="19">
        <v>0.06</v>
      </c>
      <c r="H51" s="19">
        <v>0</v>
      </c>
      <c r="I51" s="19">
        <v>0</v>
      </c>
      <c r="J51" s="19">
        <v>7.0000000000000007E-2</v>
      </c>
      <c r="K51" s="19">
        <v>0.3</v>
      </c>
      <c r="L51" s="19">
        <v>0.3</v>
      </c>
      <c r="M51" s="19">
        <v>0</v>
      </c>
      <c r="N51" s="19">
        <v>0</v>
      </c>
      <c r="O51" s="19">
        <v>0.15</v>
      </c>
      <c r="P51" s="19">
        <v>2.5000000000000001E-2</v>
      </c>
      <c r="Q51" s="19">
        <v>0</v>
      </c>
      <c r="R51" s="19">
        <v>0.1</v>
      </c>
    </row>
    <row r="52" spans="1:18" x14ac:dyDescent="0.2">
      <c r="A52" t="s">
        <v>306</v>
      </c>
      <c r="B52" t="s">
        <v>307</v>
      </c>
      <c r="C52" s="19">
        <v>9</v>
      </c>
      <c r="D52" s="19">
        <v>0.7</v>
      </c>
      <c r="E52" s="19">
        <v>0.02</v>
      </c>
      <c r="F52" s="19">
        <v>0.1</v>
      </c>
      <c r="G52" s="19">
        <v>0.03</v>
      </c>
      <c r="H52" s="19">
        <v>0</v>
      </c>
      <c r="I52" s="19">
        <v>0</v>
      </c>
      <c r="J52" s="19">
        <v>7.0000000000000007E-2</v>
      </c>
      <c r="K52" s="19">
        <v>0</v>
      </c>
      <c r="L52" s="19">
        <v>0</v>
      </c>
      <c r="M52" s="19">
        <v>0</v>
      </c>
      <c r="N52" s="19">
        <v>0</v>
      </c>
      <c r="O52" s="19">
        <v>0.01</v>
      </c>
      <c r="P52" s="19">
        <v>0.03</v>
      </c>
      <c r="Q52" s="19">
        <v>0</v>
      </c>
      <c r="R52" s="19">
        <v>0.1</v>
      </c>
    </row>
    <row r="53" spans="1:18" x14ac:dyDescent="0.2">
      <c r="A53" t="s">
        <v>308</v>
      </c>
      <c r="B53" t="s">
        <v>309</v>
      </c>
      <c r="C53" s="19">
        <v>2.6</v>
      </c>
      <c r="D53" s="19">
        <v>0.2</v>
      </c>
      <c r="E53" s="19">
        <v>0.03</v>
      </c>
      <c r="F53" s="19">
        <v>0.8</v>
      </c>
      <c r="G53" s="19">
        <v>6</v>
      </c>
      <c r="H53" s="19">
        <v>0</v>
      </c>
      <c r="I53" s="19">
        <v>0</v>
      </c>
      <c r="J53" s="19">
        <v>7.0000000000000007E-2</v>
      </c>
      <c r="K53" s="19">
        <v>0</v>
      </c>
      <c r="L53" s="19">
        <v>0</v>
      </c>
      <c r="M53" s="19">
        <v>0</v>
      </c>
      <c r="N53" s="19">
        <v>0</v>
      </c>
      <c r="O53" s="19">
        <v>0.2</v>
      </c>
      <c r="P53" s="19">
        <v>0</v>
      </c>
      <c r="Q53" s="19">
        <v>4.0000000000000001E-3</v>
      </c>
      <c r="R53" s="19">
        <v>0.2</v>
      </c>
    </row>
    <row r="54" spans="1:18" x14ac:dyDescent="0.2">
      <c r="A54" t="s">
        <v>312</v>
      </c>
      <c r="B54" t="s">
        <v>310</v>
      </c>
      <c r="C54" s="19">
        <v>2.6</v>
      </c>
      <c r="D54" s="19">
        <v>0.15</v>
      </c>
      <c r="E54" s="19">
        <v>0.05</v>
      </c>
      <c r="F54" s="19">
        <v>0.8</v>
      </c>
      <c r="G54" s="19">
        <v>6.4</v>
      </c>
      <c r="H54" s="19">
        <v>0</v>
      </c>
      <c r="I54" s="19">
        <v>0</v>
      </c>
      <c r="J54" s="19">
        <v>7.0000000000000007E-2</v>
      </c>
      <c r="K54" s="19">
        <v>0</v>
      </c>
      <c r="L54" s="19">
        <v>0.3</v>
      </c>
      <c r="M54" s="19">
        <v>0</v>
      </c>
      <c r="N54" s="19">
        <v>0</v>
      </c>
      <c r="O54" s="19">
        <v>0.05</v>
      </c>
      <c r="P54" s="19">
        <v>0</v>
      </c>
      <c r="Q54" s="19">
        <v>0</v>
      </c>
      <c r="R54" s="19">
        <v>0</v>
      </c>
    </row>
    <row r="55" spans="1:18" x14ac:dyDescent="0.2">
      <c r="A55" t="s">
        <v>313</v>
      </c>
      <c r="B55" t="s">
        <v>314</v>
      </c>
      <c r="C55" s="19">
        <v>10</v>
      </c>
      <c r="D55" s="19">
        <v>0.15</v>
      </c>
      <c r="E55" s="19">
        <v>0.4</v>
      </c>
      <c r="F55" s="19">
        <v>0.8</v>
      </c>
      <c r="G55" s="19">
        <v>0.4</v>
      </c>
      <c r="H55" s="19">
        <v>0</v>
      </c>
      <c r="I55" s="19">
        <v>0</v>
      </c>
      <c r="J55" s="19">
        <v>0.3</v>
      </c>
      <c r="K55" s="19">
        <v>0</v>
      </c>
      <c r="L55" s="19">
        <v>0.3</v>
      </c>
      <c r="M55" s="19">
        <v>0</v>
      </c>
      <c r="N55" s="19">
        <v>0</v>
      </c>
      <c r="O55" s="19">
        <v>0.15</v>
      </c>
      <c r="P55" s="19">
        <v>0</v>
      </c>
      <c r="Q55" s="19">
        <v>0</v>
      </c>
      <c r="R55" s="19">
        <v>0</v>
      </c>
    </row>
    <row r="56" spans="1:18" x14ac:dyDescent="0.2">
      <c r="A56" t="s">
        <v>315</v>
      </c>
      <c r="B56" t="s">
        <v>316</v>
      </c>
      <c r="C56" s="19">
        <v>11</v>
      </c>
      <c r="D56" s="19">
        <v>0.2</v>
      </c>
      <c r="E56" s="19">
        <v>0.03</v>
      </c>
      <c r="F56" s="19">
        <v>0.8</v>
      </c>
      <c r="G56" s="19">
        <v>0.5</v>
      </c>
      <c r="H56" s="19">
        <v>0.1</v>
      </c>
      <c r="I56" s="19">
        <v>0.15</v>
      </c>
      <c r="J56" s="19">
        <v>0.1</v>
      </c>
      <c r="K56" s="19">
        <v>0</v>
      </c>
      <c r="L56" s="19">
        <v>0</v>
      </c>
      <c r="M56" s="19">
        <v>0</v>
      </c>
      <c r="N56" s="19">
        <v>0</v>
      </c>
      <c r="O56" s="19">
        <v>0.15</v>
      </c>
      <c r="P56" s="19">
        <v>0</v>
      </c>
      <c r="Q56" s="19">
        <v>0</v>
      </c>
      <c r="R56" s="19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ECD2-F126-4941-B6C2-D03032E1343C}">
  <dimension ref="A1:N19"/>
  <sheetViews>
    <sheetView zoomScale="241" zoomScaleNormal="241" workbookViewId="0">
      <selection activeCell="N1" sqref="N1"/>
    </sheetView>
  </sheetViews>
  <sheetFormatPr baseColWidth="10" defaultRowHeight="16" x14ac:dyDescent="0.2"/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389</v>
      </c>
      <c r="N1" s="6" t="s">
        <v>390</v>
      </c>
    </row>
    <row r="2" spans="1:14" x14ac:dyDescent="0.2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19</v>
      </c>
      <c r="B9">
        <v>0</v>
      </c>
      <c r="C9">
        <v>0</v>
      </c>
      <c r="D9">
        <v>0.05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</v>
      </c>
      <c r="K19">
        <v>0</v>
      </c>
      <c r="L19">
        <v>0</v>
      </c>
      <c r="M19">
        <v>0</v>
      </c>
      <c r="N19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484E-2953-A34F-BADE-EB4A29D561D3}">
  <dimension ref="A1:N19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12</v>
      </c>
      <c r="B2">
        <v>0.25</v>
      </c>
      <c r="C2">
        <v>0.4</v>
      </c>
      <c r="D2">
        <v>0.05</v>
      </c>
      <c r="E2">
        <v>0.05</v>
      </c>
      <c r="F2">
        <v>0.05</v>
      </c>
      <c r="G2">
        <v>0</v>
      </c>
      <c r="H2">
        <v>0</v>
      </c>
      <c r="I2">
        <v>7.0000000000000007E-2</v>
      </c>
      <c r="J2">
        <v>0.05</v>
      </c>
      <c r="K2">
        <v>0</v>
      </c>
      <c r="L2">
        <v>0</v>
      </c>
      <c r="M2">
        <v>0.03</v>
      </c>
      <c r="N2">
        <v>0</v>
      </c>
    </row>
    <row r="3" spans="1:14" x14ac:dyDescent="0.2">
      <c r="A3" t="s">
        <v>13</v>
      </c>
      <c r="B3">
        <v>0.25</v>
      </c>
      <c r="C3">
        <v>0.35</v>
      </c>
      <c r="D3">
        <v>0.05</v>
      </c>
      <c r="E3">
        <v>0.03</v>
      </c>
      <c r="F3">
        <v>0.03</v>
      </c>
      <c r="G3">
        <v>0</v>
      </c>
      <c r="H3">
        <v>0</v>
      </c>
      <c r="I3">
        <v>0.05</v>
      </c>
      <c r="J3">
        <v>0.03</v>
      </c>
      <c r="K3">
        <v>0</v>
      </c>
      <c r="L3">
        <v>0.05</v>
      </c>
      <c r="M3">
        <v>0.03</v>
      </c>
      <c r="N3">
        <v>0</v>
      </c>
    </row>
    <row r="4" spans="1:14" x14ac:dyDescent="0.2">
      <c r="A4" t="s">
        <v>14</v>
      </c>
      <c r="B4">
        <v>0.2</v>
      </c>
      <c r="C4">
        <v>0.25</v>
      </c>
      <c r="D4">
        <v>0.03</v>
      </c>
      <c r="E4">
        <v>0.03</v>
      </c>
      <c r="F4">
        <v>0.03</v>
      </c>
      <c r="G4">
        <v>0</v>
      </c>
      <c r="H4">
        <v>0</v>
      </c>
      <c r="I4">
        <v>7.0000000000000007E-2</v>
      </c>
      <c r="J4">
        <v>0.03</v>
      </c>
      <c r="K4">
        <v>0</v>
      </c>
      <c r="L4">
        <v>0</v>
      </c>
      <c r="M4">
        <v>0.03</v>
      </c>
      <c r="N4">
        <v>0</v>
      </c>
    </row>
    <row r="5" spans="1:14" x14ac:dyDescent="0.2">
      <c r="A5" t="s">
        <v>15</v>
      </c>
      <c r="B5">
        <v>0.15</v>
      </c>
      <c r="C5">
        <v>0.15</v>
      </c>
      <c r="D5">
        <v>0.03</v>
      </c>
      <c r="E5">
        <v>0.02</v>
      </c>
      <c r="F5">
        <v>0.02</v>
      </c>
      <c r="G5">
        <v>0</v>
      </c>
      <c r="H5">
        <v>0</v>
      </c>
      <c r="I5">
        <v>0.06</v>
      </c>
      <c r="J5">
        <v>0.02</v>
      </c>
      <c r="K5">
        <v>0.03</v>
      </c>
      <c r="L5">
        <v>0</v>
      </c>
      <c r="M5">
        <v>0.02</v>
      </c>
      <c r="N5">
        <v>0</v>
      </c>
    </row>
    <row r="6" spans="1:14" x14ac:dyDescent="0.2">
      <c r="A6" t="s">
        <v>16</v>
      </c>
      <c r="B6">
        <v>0.1</v>
      </c>
      <c r="C6">
        <v>0.12</v>
      </c>
      <c r="D6">
        <v>0.03</v>
      </c>
      <c r="E6">
        <v>0.02</v>
      </c>
      <c r="F6">
        <v>0.02</v>
      </c>
      <c r="G6">
        <v>0</v>
      </c>
      <c r="H6">
        <v>0</v>
      </c>
      <c r="I6">
        <v>0.03</v>
      </c>
      <c r="J6">
        <v>0.02</v>
      </c>
      <c r="K6">
        <v>0.03</v>
      </c>
      <c r="L6">
        <v>0.05</v>
      </c>
      <c r="M6">
        <v>0.01</v>
      </c>
      <c r="N6">
        <v>0</v>
      </c>
    </row>
    <row r="7" spans="1:14" x14ac:dyDescent="0.2">
      <c r="A7" t="s">
        <v>17</v>
      </c>
      <c r="B7">
        <v>7.0000000000000007E-2</v>
      </c>
      <c r="C7">
        <v>7.0000000000000007E-2</v>
      </c>
      <c r="D7">
        <v>0.02</v>
      </c>
      <c r="E7">
        <v>0.01</v>
      </c>
      <c r="F7">
        <v>0.01</v>
      </c>
      <c r="G7">
        <v>0</v>
      </c>
      <c r="H7">
        <v>0</v>
      </c>
      <c r="I7">
        <v>0.03</v>
      </c>
      <c r="J7">
        <v>0.01</v>
      </c>
      <c r="K7">
        <v>0.03</v>
      </c>
      <c r="L7">
        <v>0.05</v>
      </c>
      <c r="M7">
        <v>0.01</v>
      </c>
      <c r="N7">
        <v>0</v>
      </c>
    </row>
    <row r="8" spans="1:14" x14ac:dyDescent="0.2">
      <c r="A8" t="s">
        <v>18</v>
      </c>
      <c r="B8">
        <v>0.01</v>
      </c>
      <c r="C8">
        <v>6.0000000000000001E-3</v>
      </c>
      <c r="D8">
        <v>3.0000000000000001E-3</v>
      </c>
      <c r="E8">
        <v>0</v>
      </c>
      <c r="F8">
        <v>0</v>
      </c>
      <c r="G8">
        <v>0</v>
      </c>
      <c r="H8">
        <v>0</v>
      </c>
      <c r="I8">
        <v>1.4999999999999999E-2</v>
      </c>
      <c r="J8">
        <v>3.0000000000000001E-3</v>
      </c>
      <c r="K8">
        <v>0</v>
      </c>
      <c r="L8">
        <v>0</v>
      </c>
      <c r="M8">
        <v>3.0000000000000001E-3</v>
      </c>
      <c r="N8">
        <v>0</v>
      </c>
    </row>
    <row r="9" spans="1:14" x14ac:dyDescent="0.2">
      <c r="A9" t="s">
        <v>19</v>
      </c>
      <c r="B9">
        <v>0.47399999999999998</v>
      </c>
      <c r="C9">
        <v>0.47399999999999998</v>
      </c>
      <c r="D9">
        <v>0.2</v>
      </c>
      <c r="E9">
        <v>0.05</v>
      </c>
      <c r="F9">
        <v>0</v>
      </c>
      <c r="G9">
        <v>0</v>
      </c>
      <c r="H9">
        <v>0</v>
      </c>
      <c r="I9">
        <v>0.1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20</v>
      </c>
      <c r="B10">
        <v>0.3</v>
      </c>
      <c r="C10">
        <v>0.8</v>
      </c>
      <c r="D10">
        <v>0.04</v>
      </c>
      <c r="E10">
        <v>0.01</v>
      </c>
      <c r="F10">
        <v>0.25</v>
      </c>
      <c r="G10">
        <v>0.01</v>
      </c>
      <c r="H10">
        <v>0</v>
      </c>
      <c r="I10">
        <v>0</v>
      </c>
      <c r="J10">
        <v>0</v>
      </c>
      <c r="K10">
        <v>0</v>
      </c>
      <c r="L10">
        <v>0</v>
      </c>
      <c r="M10">
        <v>0.03</v>
      </c>
      <c r="N10">
        <v>0.15</v>
      </c>
    </row>
    <row r="11" spans="1:14" x14ac:dyDescent="0.2">
      <c r="A11" t="s">
        <v>21</v>
      </c>
      <c r="B11">
        <v>0.01</v>
      </c>
      <c r="C11">
        <v>6.0000000000000001E-3</v>
      </c>
      <c r="D11">
        <v>6.0000000000000001E-3</v>
      </c>
      <c r="E11">
        <v>6.0000000000000001E-3</v>
      </c>
      <c r="F11">
        <v>0</v>
      </c>
      <c r="G11">
        <v>0</v>
      </c>
      <c r="H11">
        <v>0</v>
      </c>
      <c r="I11">
        <v>0.01</v>
      </c>
      <c r="J11">
        <v>6.0000000000000001E-3</v>
      </c>
      <c r="K11">
        <v>6.0000000000000001E-3</v>
      </c>
      <c r="L11">
        <v>0</v>
      </c>
      <c r="M11">
        <v>3.0000000000000001E-3</v>
      </c>
      <c r="N11">
        <v>0</v>
      </c>
    </row>
    <row r="12" spans="1:14" x14ac:dyDescent="0.2">
      <c r="A12" t="s">
        <v>22</v>
      </c>
      <c r="B12">
        <v>6.0000000000000001E-3</v>
      </c>
      <c r="C12">
        <v>6.0000000000000001E-3</v>
      </c>
      <c r="D12">
        <v>6.0000000000000001E-3</v>
      </c>
      <c r="E12">
        <v>2E-3</v>
      </c>
      <c r="F12">
        <v>6.0000000000000001E-3</v>
      </c>
      <c r="G12">
        <v>0</v>
      </c>
      <c r="H12">
        <v>0</v>
      </c>
      <c r="I12">
        <v>6.0000000000000001E-3</v>
      </c>
      <c r="J12">
        <v>2E-3</v>
      </c>
      <c r="K12">
        <v>5.0000000000000001E-3</v>
      </c>
      <c r="L12">
        <v>5.0000000000000001E-3</v>
      </c>
      <c r="M12">
        <v>2E-3</v>
      </c>
      <c r="N12">
        <v>0</v>
      </c>
    </row>
    <row r="13" spans="1:14" x14ac:dyDescent="0.2">
      <c r="A13" t="s">
        <v>23</v>
      </c>
      <c r="B13">
        <v>0.5</v>
      </c>
      <c r="C13">
        <v>0.5</v>
      </c>
      <c r="D13">
        <v>0.05</v>
      </c>
      <c r="E13">
        <v>0.05</v>
      </c>
      <c r="F13">
        <v>0</v>
      </c>
      <c r="G13">
        <v>0</v>
      </c>
      <c r="H13">
        <v>0</v>
      </c>
      <c r="I13">
        <v>0.1</v>
      </c>
      <c r="J13">
        <v>0.05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24</v>
      </c>
      <c r="B14">
        <v>0.5</v>
      </c>
      <c r="C14">
        <v>0.5</v>
      </c>
      <c r="D14">
        <v>0.1</v>
      </c>
      <c r="E14">
        <v>0.3</v>
      </c>
      <c r="F14">
        <v>0.3</v>
      </c>
      <c r="G14">
        <v>0.1</v>
      </c>
      <c r="H14">
        <v>0</v>
      </c>
      <c r="I14">
        <v>0.1</v>
      </c>
      <c r="J14">
        <v>0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25</v>
      </c>
      <c r="B15">
        <v>0.32500000000000001</v>
      </c>
      <c r="C15">
        <v>0.32500000000000001</v>
      </c>
      <c r="D15">
        <v>0.05</v>
      </c>
      <c r="E15">
        <v>0.05</v>
      </c>
      <c r="F15">
        <v>0.05</v>
      </c>
      <c r="G15">
        <v>0</v>
      </c>
      <c r="H15">
        <v>0</v>
      </c>
      <c r="I15">
        <v>0.1</v>
      </c>
      <c r="J15">
        <v>0.06</v>
      </c>
      <c r="K15">
        <v>0</v>
      </c>
      <c r="L15">
        <v>0.05</v>
      </c>
      <c r="M15">
        <v>0.03</v>
      </c>
      <c r="N15">
        <v>0</v>
      </c>
    </row>
    <row r="16" spans="1:14" x14ac:dyDescent="0.2">
      <c r="A16" t="s">
        <v>26</v>
      </c>
      <c r="B16">
        <v>0.1</v>
      </c>
      <c r="C16">
        <v>0.4</v>
      </c>
      <c r="D16">
        <v>0.05</v>
      </c>
      <c r="E16">
        <v>0.01</v>
      </c>
      <c r="F16">
        <v>0</v>
      </c>
      <c r="G16">
        <v>0.01</v>
      </c>
      <c r="H16">
        <v>0</v>
      </c>
      <c r="I16">
        <v>0.05</v>
      </c>
      <c r="J16">
        <v>0</v>
      </c>
      <c r="K16">
        <v>0.03</v>
      </c>
      <c r="L16">
        <v>0</v>
      </c>
      <c r="M16">
        <v>0.03</v>
      </c>
      <c r="N16">
        <v>0.1</v>
      </c>
    </row>
    <row r="17" spans="1:14" x14ac:dyDescent="0.2">
      <c r="A17" t="s">
        <v>27</v>
      </c>
      <c r="B17">
        <v>0.25</v>
      </c>
      <c r="C17">
        <v>0.4</v>
      </c>
      <c r="D17">
        <v>0.02</v>
      </c>
      <c r="E17">
        <v>0</v>
      </c>
      <c r="F17">
        <v>0.05</v>
      </c>
      <c r="G17">
        <v>0</v>
      </c>
      <c r="H17">
        <v>0</v>
      </c>
      <c r="I17">
        <v>0.05</v>
      </c>
      <c r="J17">
        <v>0</v>
      </c>
      <c r="K17">
        <v>0</v>
      </c>
      <c r="L17">
        <v>0</v>
      </c>
      <c r="M17">
        <v>0.03</v>
      </c>
      <c r="N17">
        <v>0</v>
      </c>
    </row>
    <row r="18" spans="1:14" x14ac:dyDescent="0.2">
      <c r="A18" t="s">
        <v>28</v>
      </c>
      <c r="B18">
        <v>0.1</v>
      </c>
      <c r="C18">
        <v>0.25</v>
      </c>
      <c r="D18">
        <v>0.02</v>
      </c>
      <c r="E18">
        <v>0.01</v>
      </c>
      <c r="F18">
        <v>0.02</v>
      </c>
      <c r="G18">
        <v>0.01</v>
      </c>
      <c r="H18">
        <v>0</v>
      </c>
      <c r="I18">
        <v>0.04</v>
      </c>
      <c r="J18">
        <v>0</v>
      </c>
      <c r="K18">
        <v>0.03</v>
      </c>
      <c r="L18">
        <v>0</v>
      </c>
      <c r="M18">
        <v>0.02</v>
      </c>
      <c r="N18">
        <v>0.1</v>
      </c>
    </row>
    <row r="19" spans="1:14" x14ac:dyDescent="0.2">
      <c r="A19" t="s">
        <v>29</v>
      </c>
      <c r="B19">
        <v>0.25</v>
      </c>
      <c r="C19">
        <v>0.4</v>
      </c>
      <c r="D19">
        <v>0.05</v>
      </c>
      <c r="E19">
        <v>0.05</v>
      </c>
      <c r="F19">
        <v>0.05</v>
      </c>
      <c r="G19">
        <v>0</v>
      </c>
      <c r="H19">
        <v>0</v>
      </c>
      <c r="I19">
        <v>7.0000000000000007E-2</v>
      </c>
      <c r="J19">
        <v>0</v>
      </c>
      <c r="K19">
        <v>0</v>
      </c>
      <c r="L19">
        <v>0</v>
      </c>
      <c r="M19">
        <v>0.03</v>
      </c>
      <c r="N19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6E7A-F7EA-F240-9FA7-F136626AEE23}">
  <dimension ref="A1:N18"/>
  <sheetViews>
    <sheetView workbookViewId="0">
      <selection activeCell="N1" sqref="N1"/>
    </sheetView>
  </sheetViews>
  <sheetFormatPr baseColWidth="10" defaultRowHeight="16" x14ac:dyDescent="0.2"/>
  <cols>
    <col min="1" max="1" width="17.6640625" customWidth="1"/>
  </cols>
  <sheetData>
    <row r="1" spans="1:14" ht="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0" t="s">
        <v>389</v>
      </c>
      <c r="N1" t="s">
        <v>391</v>
      </c>
    </row>
    <row r="2" spans="1:14" x14ac:dyDescent="0.2">
      <c r="A2" t="s">
        <v>30</v>
      </c>
      <c r="B2">
        <v>0</v>
      </c>
      <c r="C2">
        <v>0</v>
      </c>
      <c r="D2">
        <v>5.2</v>
      </c>
      <c r="E2">
        <v>0.15</v>
      </c>
      <c r="F2">
        <v>0.2</v>
      </c>
      <c r="G2">
        <v>0.1</v>
      </c>
      <c r="H2">
        <v>0.05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31</v>
      </c>
      <c r="B3">
        <v>0</v>
      </c>
      <c r="C3">
        <v>0</v>
      </c>
      <c r="D3">
        <v>3.3</v>
      </c>
      <c r="E3">
        <v>0.5</v>
      </c>
      <c r="F3">
        <v>0.4</v>
      </c>
      <c r="G3">
        <v>0.1</v>
      </c>
      <c r="H3">
        <v>0.2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32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33</v>
      </c>
      <c r="B5">
        <v>0</v>
      </c>
      <c r="C5">
        <v>0</v>
      </c>
      <c r="D5">
        <v>4.5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34</v>
      </c>
      <c r="B6">
        <v>0</v>
      </c>
      <c r="C6">
        <v>0</v>
      </c>
      <c r="D6">
        <v>3.9</v>
      </c>
      <c r="E6">
        <v>0.4</v>
      </c>
      <c r="F6">
        <v>0.2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35</v>
      </c>
      <c r="B7">
        <v>0.5</v>
      </c>
      <c r="C7">
        <v>0</v>
      </c>
      <c r="D7">
        <v>3.9</v>
      </c>
      <c r="E7">
        <v>0.4</v>
      </c>
      <c r="F7">
        <v>0.2</v>
      </c>
      <c r="G7">
        <v>0.1</v>
      </c>
      <c r="H7">
        <v>0.1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36</v>
      </c>
      <c r="B8">
        <v>0.2</v>
      </c>
      <c r="C8">
        <v>0</v>
      </c>
      <c r="D8">
        <v>3.5</v>
      </c>
      <c r="E8">
        <v>0.4</v>
      </c>
      <c r="F8">
        <v>0.4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37</v>
      </c>
      <c r="B9">
        <v>0</v>
      </c>
      <c r="C9">
        <v>0</v>
      </c>
      <c r="D9">
        <v>3.8</v>
      </c>
      <c r="E9">
        <v>0.3</v>
      </c>
      <c r="F9">
        <v>1.2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38</v>
      </c>
      <c r="B10">
        <v>0</v>
      </c>
      <c r="C10">
        <v>0</v>
      </c>
      <c r="D10">
        <v>3.3</v>
      </c>
      <c r="E10">
        <v>0.2</v>
      </c>
      <c r="F10">
        <v>0.5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39</v>
      </c>
      <c r="B11">
        <v>0.5</v>
      </c>
      <c r="C11">
        <v>0.6</v>
      </c>
      <c r="D11">
        <v>1.8</v>
      </c>
      <c r="E11">
        <v>0.5</v>
      </c>
      <c r="F11">
        <v>0.6</v>
      </c>
      <c r="G11">
        <v>0</v>
      </c>
      <c r="H11">
        <v>0.6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40</v>
      </c>
      <c r="B12">
        <v>0</v>
      </c>
      <c r="C12">
        <v>0</v>
      </c>
      <c r="D12">
        <v>1.8</v>
      </c>
      <c r="E12">
        <v>0.1</v>
      </c>
      <c r="F12">
        <v>1.1000000000000001</v>
      </c>
      <c r="G12">
        <v>0.1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41</v>
      </c>
      <c r="B13">
        <v>0</v>
      </c>
      <c r="C13">
        <v>0</v>
      </c>
      <c r="D13">
        <v>2.2000000000000002</v>
      </c>
      <c r="E13">
        <v>0.2</v>
      </c>
      <c r="F13">
        <v>0.2</v>
      </c>
      <c r="G13">
        <v>0.1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42</v>
      </c>
      <c r="B14">
        <v>0</v>
      </c>
      <c r="C14">
        <v>0</v>
      </c>
      <c r="D14">
        <v>3.8</v>
      </c>
      <c r="E14">
        <v>0.3</v>
      </c>
      <c r="F14">
        <v>1.2</v>
      </c>
      <c r="G14">
        <v>0.1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43</v>
      </c>
      <c r="B15">
        <v>0.5</v>
      </c>
      <c r="C15">
        <v>0</v>
      </c>
      <c r="D15">
        <v>3.9</v>
      </c>
      <c r="E15">
        <v>0.4</v>
      </c>
      <c r="F15">
        <v>0.2</v>
      </c>
      <c r="G15">
        <v>0.1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44</v>
      </c>
      <c r="B16">
        <v>0</v>
      </c>
      <c r="C16">
        <v>0</v>
      </c>
      <c r="D16">
        <v>5.8</v>
      </c>
      <c r="E16">
        <v>0.2</v>
      </c>
      <c r="F16">
        <v>0.02</v>
      </c>
      <c r="G16">
        <v>0</v>
      </c>
      <c r="H16">
        <v>0</v>
      </c>
      <c r="I16">
        <v>0</v>
      </c>
      <c r="J16">
        <v>0.02</v>
      </c>
      <c r="K16">
        <v>0</v>
      </c>
      <c r="L16">
        <v>0.05</v>
      </c>
      <c r="M16">
        <v>0</v>
      </c>
      <c r="N16">
        <v>0</v>
      </c>
    </row>
    <row r="17" spans="1:14" x14ac:dyDescent="0.2">
      <c r="A17" t="s">
        <v>45</v>
      </c>
      <c r="B17">
        <v>0</v>
      </c>
      <c r="C17">
        <v>0</v>
      </c>
      <c r="D17">
        <v>5.8</v>
      </c>
      <c r="E17">
        <v>0.2</v>
      </c>
      <c r="F17">
        <v>0.02</v>
      </c>
      <c r="G17">
        <v>0</v>
      </c>
      <c r="H17">
        <v>0</v>
      </c>
      <c r="I17">
        <v>0</v>
      </c>
      <c r="J17">
        <v>0.1</v>
      </c>
      <c r="K17">
        <v>0</v>
      </c>
      <c r="L17">
        <v>0.05</v>
      </c>
      <c r="M17">
        <v>0</v>
      </c>
      <c r="N17">
        <v>0</v>
      </c>
    </row>
    <row r="18" spans="1:14" x14ac:dyDescent="0.2">
      <c r="A18" t="s">
        <v>46</v>
      </c>
      <c r="B18">
        <v>0.15</v>
      </c>
      <c r="C18">
        <v>0.9</v>
      </c>
      <c r="D18">
        <v>1.8</v>
      </c>
      <c r="E18">
        <v>0.25</v>
      </c>
      <c r="F18">
        <v>1.2</v>
      </c>
      <c r="G18">
        <v>0</v>
      </c>
      <c r="H18">
        <v>0.8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2186-4492-324D-8AB0-3B6CC6501E5F}">
  <dimension ref="A1:N20"/>
  <sheetViews>
    <sheetView topLeftCell="A5" workbookViewId="0">
      <selection activeCell="N1" sqref="N1"/>
    </sheetView>
  </sheetViews>
  <sheetFormatPr baseColWidth="10" defaultRowHeight="16" x14ac:dyDescent="0.2"/>
  <cols>
    <col min="1" max="1" width="15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391</v>
      </c>
    </row>
    <row r="2" spans="1:14" x14ac:dyDescent="0.2">
      <c r="A2" t="s">
        <v>30</v>
      </c>
      <c r="B2">
        <v>0.2</v>
      </c>
      <c r="C2">
        <v>0.2</v>
      </c>
      <c r="D2">
        <v>6</v>
      </c>
      <c r="E2">
        <v>0.5</v>
      </c>
      <c r="F2">
        <v>0.45</v>
      </c>
      <c r="G2">
        <v>0.1</v>
      </c>
      <c r="H2">
        <v>0.05</v>
      </c>
      <c r="I2">
        <v>0.1</v>
      </c>
      <c r="J2">
        <v>0.2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31</v>
      </c>
      <c r="B3">
        <v>0.8</v>
      </c>
      <c r="C3">
        <v>0.8</v>
      </c>
      <c r="D3">
        <v>4.5999999999999996</v>
      </c>
      <c r="E3">
        <v>1</v>
      </c>
      <c r="F3">
        <v>1.8</v>
      </c>
      <c r="G3">
        <v>0.1</v>
      </c>
      <c r="H3">
        <v>0.2</v>
      </c>
      <c r="I3">
        <v>0.8</v>
      </c>
      <c r="J3">
        <v>0.2</v>
      </c>
      <c r="K3">
        <v>0</v>
      </c>
      <c r="L3">
        <v>0</v>
      </c>
      <c r="M3">
        <v>0.1</v>
      </c>
      <c r="N3">
        <v>0.3</v>
      </c>
    </row>
    <row r="4" spans="1:14" x14ac:dyDescent="0.2">
      <c r="A4" t="s">
        <v>32</v>
      </c>
      <c r="B4">
        <v>0.4</v>
      </c>
      <c r="C4">
        <v>0.7</v>
      </c>
      <c r="D4">
        <v>6</v>
      </c>
      <c r="E4">
        <v>0</v>
      </c>
      <c r="F4">
        <v>0</v>
      </c>
      <c r="G4">
        <v>0</v>
      </c>
      <c r="H4">
        <v>0</v>
      </c>
      <c r="I4">
        <v>0.3</v>
      </c>
      <c r="J4">
        <v>0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33</v>
      </c>
      <c r="B5">
        <v>0.4</v>
      </c>
      <c r="C5">
        <v>0.5</v>
      </c>
      <c r="D5">
        <v>6</v>
      </c>
      <c r="E5">
        <v>0</v>
      </c>
      <c r="F5">
        <v>0</v>
      </c>
      <c r="G5">
        <v>0</v>
      </c>
      <c r="H5">
        <v>0</v>
      </c>
      <c r="I5">
        <v>0.3</v>
      </c>
      <c r="J5">
        <v>0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34</v>
      </c>
      <c r="B6">
        <v>0.5</v>
      </c>
      <c r="C6">
        <v>0.7</v>
      </c>
      <c r="D6">
        <v>3.9</v>
      </c>
      <c r="E6">
        <v>0.4</v>
      </c>
      <c r="F6">
        <v>0.2</v>
      </c>
      <c r="G6">
        <v>0.1</v>
      </c>
      <c r="H6">
        <v>0</v>
      </c>
      <c r="I6">
        <v>0.25</v>
      </c>
      <c r="J6">
        <v>0.15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210</v>
      </c>
      <c r="B7">
        <v>1.2</v>
      </c>
      <c r="C7">
        <v>0.7</v>
      </c>
      <c r="D7">
        <v>5</v>
      </c>
      <c r="E7">
        <v>1.2</v>
      </c>
      <c r="F7">
        <v>0.8</v>
      </c>
      <c r="G7">
        <v>0.1</v>
      </c>
      <c r="H7">
        <v>0</v>
      </c>
      <c r="I7">
        <v>0.25</v>
      </c>
      <c r="J7">
        <v>0.15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35</v>
      </c>
      <c r="B8">
        <v>0.9</v>
      </c>
      <c r="C8">
        <v>0.5</v>
      </c>
      <c r="D8">
        <v>5</v>
      </c>
      <c r="E8">
        <v>1.2</v>
      </c>
      <c r="F8">
        <v>0.8</v>
      </c>
      <c r="G8">
        <v>0.1</v>
      </c>
      <c r="H8">
        <v>0.1</v>
      </c>
      <c r="I8">
        <v>0.25</v>
      </c>
      <c r="J8">
        <v>0.15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36</v>
      </c>
      <c r="B9">
        <v>0.8</v>
      </c>
      <c r="C9">
        <v>0.7</v>
      </c>
      <c r="D9">
        <v>4.5</v>
      </c>
      <c r="E9">
        <v>1</v>
      </c>
      <c r="F9">
        <v>1</v>
      </c>
      <c r="G9">
        <v>0.1</v>
      </c>
      <c r="H9">
        <v>0</v>
      </c>
      <c r="I9">
        <v>0.25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37</v>
      </c>
      <c r="B10">
        <v>0.5</v>
      </c>
      <c r="C10">
        <v>0.5</v>
      </c>
      <c r="D10">
        <v>3.8</v>
      </c>
      <c r="E10">
        <v>0.3</v>
      </c>
      <c r="F10">
        <v>1.2</v>
      </c>
      <c r="G10">
        <v>0.1</v>
      </c>
      <c r="H10">
        <v>0</v>
      </c>
      <c r="I10">
        <v>0.25</v>
      </c>
      <c r="J10">
        <v>0.15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211</v>
      </c>
      <c r="B11">
        <v>0.5</v>
      </c>
      <c r="C11">
        <v>0.5</v>
      </c>
      <c r="D11">
        <v>4.9000000000000004</v>
      </c>
      <c r="E11">
        <v>0.9</v>
      </c>
      <c r="F11">
        <v>1.8</v>
      </c>
      <c r="G11">
        <v>0.1</v>
      </c>
      <c r="H11">
        <v>0</v>
      </c>
      <c r="I11">
        <v>0.25</v>
      </c>
      <c r="J11">
        <v>0.15</v>
      </c>
      <c r="K11">
        <v>0</v>
      </c>
      <c r="L11">
        <v>0</v>
      </c>
      <c r="M11">
        <v>0.05</v>
      </c>
      <c r="N11">
        <v>0.15</v>
      </c>
    </row>
    <row r="12" spans="1:14" x14ac:dyDescent="0.2">
      <c r="A12" t="s">
        <v>38</v>
      </c>
      <c r="B12">
        <v>0.8</v>
      </c>
      <c r="C12">
        <v>0.7</v>
      </c>
      <c r="D12">
        <v>4.5</v>
      </c>
      <c r="E12">
        <v>1</v>
      </c>
      <c r="F12">
        <v>1.3</v>
      </c>
      <c r="G12">
        <v>0.1</v>
      </c>
      <c r="H12">
        <v>0</v>
      </c>
      <c r="I12">
        <v>0.5</v>
      </c>
      <c r="J12">
        <v>0.2</v>
      </c>
      <c r="K12">
        <v>0</v>
      </c>
      <c r="L12">
        <v>0</v>
      </c>
      <c r="M12">
        <v>0.1</v>
      </c>
      <c r="N12">
        <v>0.3</v>
      </c>
    </row>
    <row r="13" spans="1:14" x14ac:dyDescent="0.2">
      <c r="A13" t="s">
        <v>39</v>
      </c>
      <c r="B13">
        <v>1.3</v>
      </c>
      <c r="C13">
        <v>1.2</v>
      </c>
      <c r="D13">
        <v>2.8</v>
      </c>
      <c r="E13">
        <v>0.5</v>
      </c>
      <c r="F13">
        <v>1.2</v>
      </c>
      <c r="G13">
        <v>0</v>
      </c>
      <c r="H13">
        <v>1.4</v>
      </c>
      <c r="I13">
        <v>0.2</v>
      </c>
      <c r="J13">
        <v>0.2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40</v>
      </c>
      <c r="B14">
        <v>0.2</v>
      </c>
      <c r="C14">
        <v>0.3</v>
      </c>
      <c r="D14">
        <v>2.5</v>
      </c>
      <c r="E14">
        <v>0.1</v>
      </c>
      <c r="F14">
        <v>1.9</v>
      </c>
      <c r="G14">
        <v>0.1</v>
      </c>
      <c r="H14">
        <v>0</v>
      </c>
      <c r="I14">
        <v>0.25</v>
      </c>
      <c r="J14">
        <v>0.1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41</v>
      </c>
      <c r="B15">
        <v>0.8</v>
      </c>
      <c r="C15">
        <v>0.7</v>
      </c>
      <c r="D15">
        <v>3</v>
      </c>
      <c r="E15">
        <v>0.2</v>
      </c>
      <c r="F15">
        <v>0.5</v>
      </c>
      <c r="G15">
        <v>0.1</v>
      </c>
      <c r="H15">
        <v>0</v>
      </c>
      <c r="I15">
        <v>0.25</v>
      </c>
      <c r="J15">
        <v>0</v>
      </c>
      <c r="K15">
        <v>0</v>
      </c>
      <c r="L15">
        <v>0</v>
      </c>
      <c r="M15">
        <v>0.05</v>
      </c>
      <c r="N15">
        <v>0.15</v>
      </c>
    </row>
    <row r="16" spans="1:14" x14ac:dyDescent="0.2">
      <c r="A16" t="s">
        <v>42</v>
      </c>
      <c r="B16">
        <v>0.2</v>
      </c>
      <c r="C16">
        <v>0.3</v>
      </c>
      <c r="D16">
        <v>4.9000000000000004</v>
      </c>
      <c r="E16">
        <v>0.9</v>
      </c>
      <c r="F16">
        <v>1.8</v>
      </c>
      <c r="G16">
        <v>0.1</v>
      </c>
      <c r="H16">
        <v>0</v>
      </c>
      <c r="I16">
        <v>0.25</v>
      </c>
      <c r="J16">
        <v>0.15</v>
      </c>
      <c r="K16">
        <v>0</v>
      </c>
      <c r="L16">
        <v>0</v>
      </c>
      <c r="M16">
        <v>0.05</v>
      </c>
      <c r="N16">
        <v>0.15</v>
      </c>
    </row>
    <row r="17" spans="1:14" x14ac:dyDescent="0.2">
      <c r="A17" t="s">
        <v>43</v>
      </c>
      <c r="B17">
        <v>1.2</v>
      </c>
      <c r="C17">
        <v>0.3</v>
      </c>
      <c r="D17">
        <v>5</v>
      </c>
      <c r="E17">
        <v>1.2</v>
      </c>
      <c r="F17">
        <v>0.8</v>
      </c>
      <c r="G17">
        <v>0.1</v>
      </c>
      <c r="H17">
        <v>0</v>
      </c>
      <c r="I17">
        <v>0.25</v>
      </c>
      <c r="J17">
        <v>0.15</v>
      </c>
      <c r="K17">
        <v>0</v>
      </c>
      <c r="L17">
        <v>0</v>
      </c>
      <c r="M17">
        <v>0.05</v>
      </c>
      <c r="N17">
        <v>0.15</v>
      </c>
    </row>
    <row r="18" spans="1:14" x14ac:dyDescent="0.2">
      <c r="A18" t="s">
        <v>44</v>
      </c>
      <c r="B18">
        <v>0.2</v>
      </c>
      <c r="C18">
        <v>0.3</v>
      </c>
      <c r="D18">
        <v>6.8</v>
      </c>
      <c r="E18">
        <v>0.4</v>
      </c>
      <c r="F18">
        <v>0.02</v>
      </c>
      <c r="G18">
        <v>0</v>
      </c>
      <c r="H18">
        <v>0</v>
      </c>
      <c r="I18">
        <v>0.1</v>
      </c>
      <c r="J18">
        <v>0.1</v>
      </c>
      <c r="K18">
        <v>0</v>
      </c>
      <c r="L18">
        <v>0.15</v>
      </c>
      <c r="M18">
        <v>0.05</v>
      </c>
      <c r="N18">
        <v>0.15</v>
      </c>
    </row>
    <row r="19" spans="1:14" x14ac:dyDescent="0.2">
      <c r="A19" t="s">
        <v>45</v>
      </c>
      <c r="B19">
        <v>0.2</v>
      </c>
      <c r="C19">
        <v>0.3</v>
      </c>
      <c r="D19">
        <v>6.8</v>
      </c>
      <c r="E19">
        <v>0.4</v>
      </c>
      <c r="F19">
        <v>0.02</v>
      </c>
      <c r="G19">
        <v>0</v>
      </c>
      <c r="H19">
        <v>0</v>
      </c>
      <c r="I19">
        <v>0.1</v>
      </c>
      <c r="J19">
        <v>0.2</v>
      </c>
      <c r="K19">
        <v>0</v>
      </c>
      <c r="L19">
        <v>0.15</v>
      </c>
      <c r="M19">
        <v>0.05</v>
      </c>
      <c r="N19">
        <v>0.15</v>
      </c>
    </row>
    <row r="20" spans="1:14" x14ac:dyDescent="0.2">
      <c r="A20" t="s">
        <v>46</v>
      </c>
      <c r="B20">
        <v>0.25</v>
      </c>
      <c r="C20">
        <v>1.4</v>
      </c>
      <c r="D20">
        <v>2.7</v>
      </c>
      <c r="E20">
        <v>0.25</v>
      </c>
      <c r="F20">
        <v>1.8</v>
      </c>
      <c r="G20">
        <v>0</v>
      </c>
      <c r="H20">
        <v>1.4</v>
      </c>
      <c r="I20">
        <v>0.15</v>
      </c>
      <c r="J20">
        <v>0.2</v>
      </c>
      <c r="K20">
        <v>0</v>
      </c>
      <c r="L20">
        <v>0</v>
      </c>
      <c r="M20">
        <v>0.05</v>
      </c>
      <c r="N20">
        <v>0.15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870F-A054-9A42-8CCA-A0EE9EB8E7A7}">
  <dimension ref="A1:N16"/>
  <sheetViews>
    <sheetView workbookViewId="0">
      <selection activeCell="N29" sqref="N29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47</v>
      </c>
      <c r="B2">
        <v>0</v>
      </c>
      <c r="C2">
        <v>0</v>
      </c>
      <c r="D2">
        <v>0</v>
      </c>
      <c r="E2">
        <v>0.05</v>
      </c>
      <c r="F2">
        <v>0.05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48</v>
      </c>
      <c r="B3">
        <v>0</v>
      </c>
      <c r="C3">
        <v>0</v>
      </c>
      <c r="D3">
        <v>0.05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49</v>
      </c>
      <c r="B4">
        <v>0</v>
      </c>
      <c r="C4">
        <v>0.05</v>
      </c>
      <c r="D4">
        <v>0</v>
      </c>
      <c r="E4">
        <v>1</v>
      </c>
      <c r="F4">
        <v>0.8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50</v>
      </c>
      <c r="B5">
        <v>0</v>
      </c>
      <c r="C5">
        <v>0.05</v>
      </c>
      <c r="D5">
        <v>0</v>
      </c>
      <c r="E5">
        <v>1</v>
      </c>
      <c r="F5">
        <v>0.2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51</v>
      </c>
      <c r="B6">
        <v>0</v>
      </c>
      <c r="C6">
        <v>0</v>
      </c>
      <c r="D6">
        <v>0</v>
      </c>
      <c r="E6">
        <v>1</v>
      </c>
      <c r="F6">
        <v>0.2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52</v>
      </c>
      <c r="B7">
        <v>0</v>
      </c>
      <c r="C7">
        <v>0</v>
      </c>
      <c r="D7">
        <v>0.25</v>
      </c>
      <c r="E7">
        <v>0.8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53</v>
      </c>
      <c r="B8">
        <v>0</v>
      </c>
      <c r="C8">
        <v>0</v>
      </c>
      <c r="D8">
        <v>0</v>
      </c>
      <c r="E8">
        <v>0.05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54</v>
      </c>
      <c r="B9">
        <v>0</v>
      </c>
      <c r="C9">
        <v>0</v>
      </c>
      <c r="D9">
        <v>0</v>
      </c>
      <c r="E9">
        <v>0.9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55</v>
      </c>
      <c r="B10">
        <v>0</v>
      </c>
      <c r="C10">
        <v>0</v>
      </c>
      <c r="D10">
        <v>0</v>
      </c>
      <c r="E10">
        <v>0.7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56</v>
      </c>
      <c r="B11">
        <v>0</v>
      </c>
      <c r="C11">
        <v>0</v>
      </c>
      <c r="D11">
        <v>0.05</v>
      </c>
      <c r="E11">
        <v>0.8</v>
      </c>
      <c r="F11">
        <v>0.8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57</v>
      </c>
      <c r="B12">
        <v>0</v>
      </c>
      <c r="C12">
        <v>0</v>
      </c>
      <c r="D12">
        <v>0</v>
      </c>
      <c r="E12">
        <v>0.3</v>
      </c>
      <c r="F12">
        <v>0.2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58</v>
      </c>
      <c r="B13">
        <v>0</v>
      </c>
      <c r="C13">
        <v>0</v>
      </c>
      <c r="D13">
        <v>0</v>
      </c>
      <c r="E13">
        <v>0.3</v>
      </c>
      <c r="F13">
        <v>0.2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59</v>
      </c>
      <c r="B14">
        <v>0</v>
      </c>
      <c r="C14">
        <v>0</v>
      </c>
      <c r="D14">
        <v>0</v>
      </c>
      <c r="E14">
        <v>0.3</v>
      </c>
      <c r="F14">
        <v>0.2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60</v>
      </c>
      <c r="B15">
        <v>0</v>
      </c>
      <c r="C15">
        <v>0</v>
      </c>
      <c r="D15">
        <v>0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61</v>
      </c>
      <c r="B16">
        <v>0</v>
      </c>
      <c r="C16">
        <v>0</v>
      </c>
      <c r="D16">
        <v>0</v>
      </c>
      <c r="E16">
        <v>0.3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AB32-675B-D449-ADF8-EA03F76CD627}">
  <dimension ref="A1:N16"/>
  <sheetViews>
    <sheetView workbookViewId="0">
      <selection activeCell="M1" sqref="M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391</v>
      </c>
    </row>
    <row r="2" spans="1:14" x14ac:dyDescent="0.2">
      <c r="A2" t="s">
        <v>47</v>
      </c>
      <c r="B2">
        <v>0.08</v>
      </c>
      <c r="C2">
        <v>0.1</v>
      </c>
      <c r="D2">
        <v>0.15</v>
      </c>
      <c r="E2">
        <v>0.25</v>
      </c>
      <c r="F2">
        <v>0.2</v>
      </c>
      <c r="G2">
        <v>0</v>
      </c>
      <c r="H2">
        <v>0</v>
      </c>
      <c r="I2">
        <v>0.05</v>
      </c>
      <c r="J2">
        <v>0.03</v>
      </c>
      <c r="K2">
        <v>0</v>
      </c>
      <c r="L2">
        <v>0.05</v>
      </c>
      <c r="M2">
        <v>0.03</v>
      </c>
      <c r="N2">
        <v>0.1</v>
      </c>
    </row>
    <row r="3" spans="1:14" x14ac:dyDescent="0.2">
      <c r="A3" t="s">
        <v>48</v>
      </c>
      <c r="B3">
        <v>0.6</v>
      </c>
      <c r="C3">
        <v>0.15</v>
      </c>
      <c r="D3">
        <v>0.2</v>
      </c>
      <c r="E3">
        <v>1.5</v>
      </c>
      <c r="F3">
        <v>0</v>
      </c>
      <c r="G3">
        <v>0</v>
      </c>
      <c r="H3">
        <v>0</v>
      </c>
      <c r="I3">
        <v>0.1</v>
      </c>
      <c r="J3">
        <v>0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49</v>
      </c>
      <c r="B4">
        <v>0.3</v>
      </c>
      <c r="C4">
        <v>0.25</v>
      </c>
      <c r="D4">
        <v>0.25</v>
      </c>
      <c r="E4">
        <v>1.5</v>
      </c>
      <c r="F4">
        <v>1.3</v>
      </c>
      <c r="G4">
        <v>0</v>
      </c>
      <c r="H4">
        <v>0</v>
      </c>
      <c r="I4">
        <v>0.25</v>
      </c>
      <c r="J4">
        <v>0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50</v>
      </c>
      <c r="B5">
        <v>0.6</v>
      </c>
      <c r="C5">
        <v>0.2</v>
      </c>
      <c r="D5">
        <v>0.3</v>
      </c>
      <c r="E5">
        <v>1.5</v>
      </c>
      <c r="F5">
        <v>0.6</v>
      </c>
      <c r="G5">
        <v>0.1</v>
      </c>
      <c r="H5">
        <v>0</v>
      </c>
      <c r="I5">
        <v>0.25</v>
      </c>
      <c r="J5">
        <v>0.1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51</v>
      </c>
      <c r="B6">
        <v>0.7</v>
      </c>
      <c r="C6">
        <v>0</v>
      </c>
      <c r="D6">
        <v>0.3</v>
      </c>
      <c r="E6">
        <v>1.5</v>
      </c>
      <c r="F6">
        <v>0.6</v>
      </c>
      <c r="G6">
        <v>0.1</v>
      </c>
      <c r="H6">
        <v>0</v>
      </c>
      <c r="I6">
        <v>0.4</v>
      </c>
      <c r="J6">
        <v>0.1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52</v>
      </c>
      <c r="B7">
        <v>0.25</v>
      </c>
      <c r="C7">
        <v>0</v>
      </c>
      <c r="D7">
        <v>0.4</v>
      </c>
      <c r="E7">
        <v>1.2</v>
      </c>
      <c r="F7">
        <v>0.1</v>
      </c>
      <c r="G7">
        <v>0.15</v>
      </c>
      <c r="H7">
        <v>0</v>
      </c>
      <c r="I7">
        <v>0.1</v>
      </c>
      <c r="J7">
        <v>0.05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53</v>
      </c>
      <c r="B8">
        <v>0.4</v>
      </c>
      <c r="C8">
        <v>0.05</v>
      </c>
      <c r="D8">
        <v>0.1</v>
      </c>
      <c r="E8">
        <v>0.4</v>
      </c>
      <c r="F8">
        <v>0</v>
      </c>
      <c r="G8">
        <v>0</v>
      </c>
      <c r="H8">
        <v>0</v>
      </c>
      <c r="I8">
        <v>0.3</v>
      </c>
      <c r="J8">
        <v>0.1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54</v>
      </c>
      <c r="B9">
        <v>0.5</v>
      </c>
      <c r="C9">
        <v>0.03</v>
      </c>
      <c r="D9">
        <v>0.1</v>
      </c>
      <c r="E9">
        <v>1.5</v>
      </c>
      <c r="F9">
        <v>0.3</v>
      </c>
      <c r="G9">
        <v>0.1</v>
      </c>
      <c r="H9">
        <v>0</v>
      </c>
      <c r="I9">
        <v>0.2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55</v>
      </c>
      <c r="B10">
        <v>0.5</v>
      </c>
      <c r="C10">
        <v>0</v>
      </c>
      <c r="D10">
        <v>0.1</v>
      </c>
      <c r="E10">
        <v>1.4</v>
      </c>
      <c r="F10">
        <v>0.3</v>
      </c>
      <c r="G10">
        <v>0.1</v>
      </c>
      <c r="H10">
        <v>0</v>
      </c>
      <c r="I10">
        <v>0.2</v>
      </c>
      <c r="J10">
        <v>0.1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56</v>
      </c>
      <c r="B11">
        <v>0.6</v>
      </c>
      <c r="C11">
        <v>0.05</v>
      </c>
      <c r="D11">
        <v>0.25</v>
      </c>
      <c r="E11">
        <v>1.4</v>
      </c>
      <c r="F11">
        <v>1.3</v>
      </c>
      <c r="G11">
        <v>0</v>
      </c>
      <c r="H11">
        <v>0</v>
      </c>
      <c r="I11">
        <v>0.25</v>
      </c>
      <c r="J11">
        <v>0.1</v>
      </c>
      <c r="K11">
        <v>0.05</v>
      </c>
      <c r="L11">
        <v>0.05</v>
      </c>
      <c r="M11">
        <v>0.05</v>
      </c>
      <c r="N11">
        <v>0.15</v>
      </c>
    </row>
    <row r="12" spans="1:14" x14ac:dyDescent="0.2">
      <c r="A12" t="s">
        <v>57</v>
      </c>
      <c r="B12">
        <v>0.6</v>
      </c>
      <c r="C12">
        <v>0</v>
      </c>
      <c r="D12">
        <v>0.3</v>
      </c>
      <c r="E12">
        <v>0.8</v>
      </c>
      <c r="F12">
        <v>0.8</v>
      </c>
      <c r="G12">
        <v>0.2</v>
      </c>
      <c r="H12">
        <v>0</v>
      </c>
      <c r="I12">
        <v>0.4</v>
      </c>
      <c r="J12">
        <v>0.1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58</v>
      </c>
      <c r="B13">
        <v>0.6</v>
      </c>
      <c r="C13">
        <v>0.03</v>
      </c>
      <c r="D13">
        <v>0.3</v>
      </c>
      <c r="E13">
        <v>0.8</v>
      </c>
      <c r="F13">
        <v>0.8</v>
      </c>
      <c r="G13">
        <v>0.2</v>
      </c>
      <c r="H13">
        <v>0</v>
      </c>
      <c r="I13">
        <v>0.25</v>
      </c>
      <c r="J13">
        <v>0.1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59</v>
      </c>
      <c r="B14">
        <v>0.7</v>
      </c>
      <c r="C14">
        <v>0.1</v>
      </c>
      <c r="D14">
        <v>0.3</v>
      </c>
      <c r="E14">
        <v>0.9</v>
      </c>
      <c r="F14">
        <v>0.8</v>
      </c>
      <c r="G14">
        <v>0.2</v>
      </c>
      <c r="H14">
        <v>0</v>
      </c>
      <c r="I14">
        <v>0.5</v>
      </c>
      <c r="J14">
        <v>0.1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60</v>
      </c>
      <c r="B15">
        <v>0.3</v>
      </c>
      <c r="C15">
        <v>0</v>
      </c>
      <c r="D15">
        <v>0.1</v>
      </c>
      <c r="E15">
        <v>0.8</v>
      </c>
      <c r="F15">
        <v>0.1</v>
      </c>
      <c r="G15">
        <v>0</v>
      </c>
      <c r="H15">
        <v>0</v>
      </c>
      <c r="I15">
        <v>0.1</v>
      </c>
      <c r="J15">
        <v>0</v>
      </c>
      <c r="K15">
        <v>0</v>
      </c>
      <c r="L15">
        <v>0</v>
      </c>
      <c r="M15">
        <v>0.05</v>
      </c>
      <c r="N15">
        <v>0.1</v>
      </c>
    </row>
    <row r="16" spans="1:14" x14ac:dyDescent="0.2">
      <c r="A16" t="s">
        <v>61</v>
      </c>
      <c r="B16">
        <v>0.35</v>
      </c>
      <c r="C16">
        <v>0.7</v>
      </c>
      <c r="D16">
        <v>0.25</v>
      </c>
      <c r="E16">
        <v>0.8</v>
      </c>
      <c r="F16">
        <v>0.4</v>
      </c>
      <c r="G16">
        <v>0.2</v>
      </c>
      <c r="H16">
        <v>0</v>
      </c>
      <c r="I16">
        <v>0.25</v>
      </c>
      <c r="J16">
        <v>0</v>
      </c>
      <c r="K16">
        <v>0</v>
      </c>
      <c r="L16">
        <v>0</v>
      </c>
      <c r="M16">
        <v>0.05</v>
      </c>
      <c r="N16">
        <v>0.15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8838-DA6B-2546-872F-219A7CAF2E41}">
  <dimension ref="A1:N16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62</v>
      </c>
      <c r="B2">
        <v>9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63</v>
      </c>
      <c r="B3">
        <v>0.8</v>
      </c>
      <c r="C3">
        <v>0.5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64</v>
      </c>
      <c r="B4">
        <v>1</v>
      </c>
      <c r="C4">
        <v>0.4</v>
      </c>
      <c r="D4">
        <v>0</v>
      </c>
      <c r="E4">
        <v>0.8</v>
      </c>
      <c r="F4">
        <v>0</v>
      </c>
      <c r="G4">
        <v>0.05</v>
      </c>
      <c r="H4">
        <v>0.15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65</v>
      </c>
      <c r="B5">
        <v>1.4</v>
      </c>
      <c r="C5">
        <v>0</v>
      </c>
      <c r="D5">
        <v>0</v>
      </c>
      <c r="E5">
        <v>0.6</v>
      </c>
      <c r="F5">
        <v>0.1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66</v>
      </c>
      <c r="B6">
        <v>1.4</v>
      </c>
      <c r="C6">
        <v>0</v>
      </c>
      <c r="D6">
        <v>0</v>
      </c>
      <c r="E6">
        <v>0.6</v>
      </c>
      <c r="F6">
        <v>0</v>
      </c>
      <c r="G6">
        <v>0</v>
      </c>
      <c r="H6">
        <v>0</v>
      </c>
      <c r="I6">
        <v>0.5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67</v>
      </c>
      <c r="B7">
        <v>0.6</v>
      </c>
      <c r="C7">
        <v>0</v>
      </c>
      <c r="D7">
        <v>0.1</v>
      </c>
      <c r="E7">
        <v>0.6</v>
      </c>
      <c r="F7">
        <v>0.1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68</v>
      </c>
      <c r="B8">
        <v>6.5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69</v>
      </c>
      <c r="B9">
        <v>11</v>
      </c>
      <c r="C9">
        <v>0</v>
      </c>
      <c r="D9">
        <v>0.5</v>
      </c>
      <c r="E9">
        <v>0</v>
      </c>
      <c r="F9">
        <v>0.8</v>
      </c>
      <c r="G9">
        <v>0.1</v>
      </c>
      <c r="H9">
        <v>0.5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70</v>
      </c>
      <c r="B10">
        <v>4.5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71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72</v>
      </c>
      <c r="B12">
        <v>9</v>
      </c>
      <c r="C12">
        <v>0</v>
      </c>
      <c r="D12">
        <v>0</v>
      </c>
      <c r="E12">
        <v>0</v>
      </c>
      <c r="F12">
        <v>0.2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73</v>
      </c>
      <c r="B13">
        <v>11</v>
      </c>
      <c r="C13">
        <v>0</v>
      </c>
      <c r="D13">
        <v>0</v>
      </c>
      <c r="E13">
        <v>0</v>
      </c>
      <c r="F13">
        <v>0.1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74</v>
      </c>
      <c r="B14">
        <v>9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75</v>
      </c>
      <c r="B15">
        <v>1.8</v>
      </c>
      <c r="C15">
        <v>0</v>
      </c>
      <c r="D15">
        <v>0.1</v>
      </c>
      <c r="E15">
        <v>0.6</v>
      </c>
      <c r="F15">
        <v>0.1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76</v>
      </c>
      <c r="B16">
        <v>6.8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C7E3-D53E-5B4C-8901-76EBDB5EF8E8}">
  <dimension ref="A1:N16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62</v>
      </c>
      <c r="B2">
        <v>10.5</v>
      </c>
      <c r="C2">
        <v>0.8</v>
      </c>
      <c r="D2">
        <v>0.25</v>
      </c>
      <c r="E2">
        <v>0.1</v>
      </c>
      <c r="F2">
        <v>2</v>
      </c>
      <c r="G2">
        <v>0</v>
      </c>
      <c r="H2">
        <v>0</v>
      </c>
      <c r="I2">
        <v>0.2</v>
      </c>
      <c r="J2">
        <v>0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63</v>
      </c>
      <c r="B3">
        <v>1.2</v>
      </c>
      <c r="C3">
        <v>0.8</v>
      </c>
      <c r="D3">
        <v>0.1</v>
      </c>
      <c r="E3">
        <v>0.05</v>
      </c>
      <c r="F3">
        <v>0.01</v>
      </c>
      <c r="G3">
        <v>0.2</v>
      </c>
      <c r="H3">
        <v>0</v>
      </c>
      <c r="I3">
        <v>0.05</v>
      </c>
      <c r="J3">
        <v>0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64</v>
      </c>
      <c r="B4">
        <v>1.7</v>
      </c>
      <c r="C4">
        <v>1</v>
      </c>
      <c r="D4">
        <v>0.2</v>
      </c>
      <c r="E4">
        <v>1.5</v>
      </c>
      <c r="F4">
        <v>0.2</v>
      </c>
      <c r="G4">
        <v>0.25</v>
      </c>
      <c r="H4">
        <v>0.7</v>
      </c>
      <c r="I4">
        <v>0.1</v>
      </c>
      <c r="J4">
        <v>0.1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65</v>
      </c>
      <c r="B5">
        <v>2.2000000000000002</v>
      </c>
      <c r="C5">
        <v>0.7</v>
      </c>
      <c r="D5">
        <v>0.2</v>
      </c>
      <c r="E5">
        <v>1.2</v>
      </c>
      <c r="F5">
        <v>0.5</v>
      </c>
      <c r="G5">
        <v>0</v>
      </c>
      <c r="H5">
        <v>0</v>
      </c>
      <c r="I5">
        <v>0.2</v>
      </c>
      <c r="J5">
        <v>0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66</v>
      </c>
      <c r="B6">
        <v>2.2000000000000002</v>
      </c>
      <c r="C6">
        <v>0.7</v>
      </c>
      <c r="D6">
        <v>0.2</v>
      </c>
      <c r="E6">
        <v>1.2</v>
      </c>
      <c r="F6">
        <v>0.1</v>
      </c>
      <c r="G6">
        <v>0</v>
      </c>
      <c r="H6">
        <v>0</v>
      </c>
      <c r="I6">
        <v>1.3</v>
      </c>
      <c r="J6">
        <v>0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67</v>
      </c>
      <c r="B7">
        <v>1.6</v>
      </c>
      <c r="C7">
        <v>0.7</v>
      </c>
      <c r="D7">
        <v>0.5</v>
      </c>
      <c r="E7">
        <v>1.2</v>
      </c>
      <c r="F7">
        <v>0.5</v>
      </c>
      <c r="G7">
        <v>0</v>
      </c>
      <c r="H7">
        <v>0</v>
      </c>
      <c r="I7">
        <v>0.2</v>
      </c>
      <c r="J7">
        <v>0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68</v>
      </c>
      <c r="B8">
        <v>7.5</v>
      </c>
      <c r="C8">
        <v>0.2</v>
      </c>
      <c r="D8">
        <v>0.05</v>
      </c>
      <c r="E8">
        <v>0.1</v>
      </c>
      <c r="F8">
        <v>0.8</v>
      </c>
      <c r="G8">
        <v>0</v>
      </c>
      <c r="H8">
        <v>0</v>
      </c>
      <c r="I8">
        <v>0.1</v>
      </c>
      <c r="J8">
        <v>0.2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69</v>
      </c>
      <c r="B9">
        <v>13.5</v>
      </c>
      <c r="C9">
        <v>1</v>
      </c>
      <c r="D9">
        <v>1.3</v>
      </c>
      <c r="E9">
        <v>0</v>
      </c>
      <c r="F9">
        <v>1.3</v>
      </c>
      <c r="G9">
        <v>0.1</v>
      </c>
      <c r="H9">
        <v>1.3</v>
      </c>
      <c r="I9">
        <v>0.25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70</v>
      </c>
      <c r="B10">
        <v>6</v>
      </c>
      <c r="C10">
        <v>0.6</v>
      </c>
      <c r="D10">
        <v>0.3</v>
      </c>
      <c r="E10">
        <v>0.15</v>
      </c>
      <c r="F10">
        <v>0.2</v>
      </c>
      <c r="G10">
        <v>0</v>
      </c>
      <c r="H10">
        <v>0</v>
      </c>
      <c r="I10">
        <v>0.1</v>
      </c>
      <c r="J10">
        <v>0.15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71</v>
      </c>
      <c r="B11">
        <v>11</v>
      </c>
      <c r="C11">
        <v>0.8</v>
      </c>
      <c r="D11">
        <v>0.3</v>
      </c>
      <c r="E11">
        <v>0.05</v>
      </c>
      <c r="F11">
        <v>0.05</v>
      </c>
      <c r="G11">
        <v>0</v>
      </c>
      <c r="H11">
        <v>0</v>
      </c>
      <c r="I11">
        <v>0.1</v>
      </c>
      <c r="J11">
        <v>0.2</v>
      </c>
      <c r="K11">
        <v>0</v>
      </c>
      <c r="L11">
        <v>0</v>
      </c>
      <c r="M11">
        <v>0.05</v>
      </c>
      <c r="N11">
        <v>0.15</v>
      </c>
    </row>
    <row r="12" spans="1:14" x14ac:dyDescent="0.2">
      <c r="A12" t="s">
        <v>72</v>
      </c>
      <c r="B12">
        <v>11</v>
      </c>
      <c r="C12">
        <v>0.5</v>
      </c>
      <c r="D12">
        <v>0.03</v>
      </c>
      <c r="E12">
        <v>0.4</v>
      </c>
      <c r="F12">
        <v>0.5</v>
      </c>
      <c r="G12">
        <v>0</v>
      </c>
      <c r="H12">
        <v>0</v>
      </c>
      <c r="I12">
        <v>0.1</v>
      </c>
      <c r="J12">
        <v>0.15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73</v>
      </c>
      <c r="B13">
        <v>13</v>
      </c>
      <c r="C13">
        <v>0.6</v>
      </c>
      <c r="D13">
        <v>0.3</v>
      </c>
      <c r="E13">
        <v>0.15</v>
      </c>
      <c r="F13">
        <v>0.1</v>
      </c>
      <c r="G13">
        <v>0</v>
      </c>
      <c r="H13">
        <v>0</v>
      </c>
      <c r="I13">
        <v>0.2</v>
      </c>
      <c r="J13">
        <v>0.15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74</v>
      </c>
      <c r="B14">
        <v>10.5</v>
      </c>
      <c r="C14">
        <v>0.8</v>
      </c>
      <c r="D14">
        <v>0.25</v>
      </c>
      <c r="E14">
        <v>0.1</v>
      </c>
      <c r="F14">
        <v>2</v>
      </c>
      <c r="G14">
        <v>0</v>
      </c>
      <c r="H14">
        <v>0</v>
      </c>
      <c r="I14">
        <v>0.2</v>
      </c>
      <c r="J14">
        <v>0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75</v>
      </c>
      <c r="B15">
        <v>2.2000000000000002</v>
      </c>
      <c r="C15">
        <v>0.7</v>
      </c>
      <c r="D15">
        <v>0.5</v>
      </c>
      <c r="E15">
        <v>1.2</v>
      </c>
      <c r="F15">
        <v>0.5</v>
      </c>
      <c r="G15">
        <v>0</v>
      </c>
      <c r="H15">
        <v>0</v>
      </c>
      <c r="I15">
        <v>0.2</v>
      </c>
      <c r="J15">
        <v>0</v>
      </c>
      <c r="K15">
        <v>0</v>
      </c>
      <c r="L15">
        <v>0</v>
      </c>
      <c r="M15">
        <v>0.05</v>
      </c>
      <c r="N15">
        <v>0.15</v>
      </c>
    </row>
    <row r="16" spans="1:14" x14ac:dyDescent="0.2">
      <c r="A16" t="s">
        <v>76</v>
      </c>
      <c r="B16">
        <v>8.1999999999999993</v>
      </c>
      <c r="C16">
        <v>0.8</v>
      </c>
      <c r="D16">
        <v>0.25</v>
      </c>
      <c r="E16">
        <v>0.1</v>
      </c>
      <c r="F16">
        <v>0</v>
      </c>
      <c r="G16">
        <v>0</v>
      </c>
      <c r="H16">
        <v>0</v>
      </c>
      <c r="I16">
        <v>0.2</v>
      </c>
      <c r="J16">
        <v>0</v>
      </c>
      <c r="K16">
        <v>0</v>
      </c>
      <c r="L16">
        <v>0</v>
      </c>
      <c r="M16">
        <v>0.05</v>
      </c>
      <c r="N16">
        <v>0.15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F079-706A-E24A-8C05-5EAB46CFD1A0}">
  <dimension ref="A1:N61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77</v>
      </c>
      <c r="B2">
        <v>0</v>
      </c>
      <c r="C2">
        <v>0</v>
      </c>
      <c r="D2">
        <v>0</v>
      </c>
      <c r="E2">
        <v>0</v>
      </c>
      <c r="F2">
        <v>0.5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78</v>
      </c>
      <c r="B3">
        <v>0</v>
      </c>
      <c r="C3">
        <v>0</v>
      </c>
      <c r="D3">
        <v>0</v>
      </c>
      <c r="E3">
        <v>0</v>
      </c>
      <c r="F3">
        <v>0.7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79</v>
      </c>
      <c r="B4">
        <v>0</v>
      </c>
      <c r="C4">
        <v>0</v>
      </c>
      <c r="D4">
        <v>0</v>
      </c>
      <c r="E4">
        <v>0.4</v>
      </c>
      <c r="F4">
        <v>0.8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80</v>
      </c>
      <c r="B5">
        <v>0</v>
      </c>
      <c r="C5">
        <v>0</v>
      </c>
      <c r="D5">
        <v>0</v>
      </c>
      <c r="E5">
        <v>0.1</v>
      </c>
      <c r="F5">
        <v>0.2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81</v>
      </c>
      <c r="B6">
        <v>0</v>
      </c>
      <c r="C6">
        <v>0</v>
      </c>
      <c r="D6">
        <v>0</v>
      </c>
      <c r="E6">
        <v>0.2</v>
      </c>
      <c r="F6">
        <v>2.6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82</v>
      </c>
      <c r="B7">
        <v>0</v>
      </c>
      <c r="C7">
        <v>0</v>
      </c>
      <c r="D7">
        <v>0</v>
      </c>
      <c r="E7">
        <v>0.1</v>
      </c>
      <c r="F7">
        <v>4.5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83</v>
      </c>
      <c r="B8">
        <v>0.55000000000000004</v>
      </c>
      <c r="C8">
        <v>0.2</v>
      </c>
      <c r="D8">
        <v>0.1</v>
      </c>
      <c r="E8">
        <v>0.6</v>
      </c>
      <c r="F8">
        <v>3.9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84</v>
      </c>
      <c r="B9">
        <v>0</v>
      </c>
      <c r="C9">
        <v>0</v>
      </c>
      <c r="D9">
        <v>0</v>
      </c>
      <c r="E9">
        <v>0.9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85</v>
      </c>
      <c r="B10">
        <v>0</v>
      </c>
      <c r="C10">
        <v>0</v>
      </c>
      <c r="D10">
        <v>0</v>
      </c>
      <c r="E10">
        <v>0.2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86</v>
      </c>
      <c r="B11">
        <v>0</v>
      </c>
      <c r="C11">
        <v>0</v>
      </c>
      <c r="D11">
        <v>0</v>
      </c>
      <c r="E11">
        <v>0.5</v>
      </c>
      <c r="F11">
        <v>1.6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87</v>
      </c>
      <c r="B12">
        <v>0</v>
      </c>
      <c r="C12">
        <v>0</v>
      </c>
      <c r="D12">
        <v>0</v>
      </c>
      <c r="E12">
        <v>0</v>
      </c>
      <c r="F12">
        <v>1.1000000000000001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88</v>
      </c>
      <c r="B13">
        <v>0</v>
      </c>
      <c r="C13">
        <v>0</v>
      </c>
      <c r="D13">
        <v>0</v>
      </c>
      <c r="E13">
        <v>0</v>
      </c>
      <c r="F13">
        <v>1.1000000000000001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89</v>
      </c>
      <c r="B14">
        <v>0</v>
      </c>
      <c r="C14">
        <v>0</v>
      </c>
      <c r="D14">
        <v>0</v>
      </c>
      <c r="E14">
        <v>0</v>
      </c>
      <c r="F14">
        <v>1.4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90</v>
      </c>
      <c r="B15">
        <v>0</v>
      </c>
      <c r="C15">
        <v>0</v>
      </c>
      <c r="D15">
        <v>0</v>
      </c>
      <c r="E15">
        <v>0</v>
      </c>
      <c r="F15">
        <v>2.2000000000000002</v>
      </c>
      <c r="G15">
        <v>0.15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91</v>
      </c>
      <c r="B16">
        <v>0</v>
      </c>
      <c r="C16">
        <v>0</v>
      </c>
      <c r="D16">
        <v>0</v>
      </c>
      <c r="E16">
        <v>0</v>
      </c>
      <c r="F16">
        <v>4.5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92</v>
      </c>
      <c r="B17">
        <v>0</v>
      </c>
      <c r="C17">
        <v>0</v>
      </c>
      <c r="D17">
        <v>0</v>
      </c>
      <c r="E17">
        <v>0.6</v>
      </c>
      <c r="F17">
        <v>5</v>
      </c>
      <c r="G17">
        <v>0</v>
      </c>
      <c r="H17">
        <v>0</v>
      </c>
      <c r="I17">
        <v>0.4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93</v>
      </c>
      <c r="B18">
        <v>0</v>
      </c>
      <c r="C18">
        <v>0</v>
      </c>
      <c r="D18">
        <v>0</v>
      </c>
      <c r="E18">
        <v>0.4</v>
      </c>
      <c r="F18">
        <v>3.5</v>
      </c>
      <c r="G18">
        <v>0</v>
      </c>
      <c r="H18">
        <v>0</v>
      </c>
      <c r="I18">
        <v>0.4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94</v>
      </c>
      <c r="B19">
        <v>0</v>
      </c>
      <c r="C19">
        <v>0</v>
      </c>
      <c r="D19">
        <v>0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95</v>
      </c>
      <c r="B20">
        <v>0</v>
      </c>
      <c r="C20">
        <v>0</v>
      </c>
      <c r="D20">
        <v>0</v>
      </c>
      <c r="E20">
        <v>0.4</v>
      </c>
      <c r="F20">
        <v>4</v>
      </c>
      <c r="G20">
        <v>0.05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96</v>
      </c>
      <c r="B21">
        <v>0</v>
      </c>
      <c r="C21">
        <v>0</v>
      </c>
      <c r="D21">
        <v>0</v>
      </c>
      <c r="E21">
        <v>0.2</v>
      </c>
      <c r="F21">
        <v>3.5</v>
      </c>
      <c r="G21">
        <v>0.05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97</v>
      </c>
      <c r="B22">
        <v>0</v>
      </c>
      <c r="C22">
        <v>0</v>
      </c>
      <c r="D22">
        <v>0</v>
      </c>
      <c r="E22">
        <v>0.7</v>
      </c>
      <c r="F22">
        <v>4.5</v>
      </c>
      <c r="G22">
        <v>0.05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98</v>
      </c>
      <c r="B23">
        <v>0</v>
      </c>
      <c r="C23">
        <v>0.1</v>
      </c>
      <c r="D23">
        <v>0</v>
      </c>
      <c r="E23">
        <v>0.2</v>
      </c>
      <c r="F23">
        <v>4.7</v>
      </c>
      <c r="G23">
        <v>0</v>
      </c>
      <c r="H23">
        <v>0</v>
      </c>
      <c r="I23">
        <v>0.2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99</v>
      </c>
      <c r="B24">
        <v>0</v>
      </c>
      <c r="C24">
        <v>0</v>
      </c>
      <c r="D24">
        <v>0</v>
      </c>
      <c r="E24">
        <v>0</v>
      </c>
      <c r="F24">
        <v>0.3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100</v>
      </c>
      <c r="B25">
        <v>0</v>
      </c>
      <c r="C25">
        <v>0</v>
      </c>
      <c r="D25">
        <v>0</v>
      </c>
      <c r="E25">
        <v>0.2</v>
      </c>
      <c r="F25">
        <v>4.5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101</v>
      </c>
      <c r="B26">
        <v>0</v>
      </c>
      <c r="C26">
        <v>0</v>
      </c>
      <c r="D26">
        <v>0</v>
      </c>
      <c r="E26">
        <v>0.2</v>
      </c>
      <c r="F26">
        <v>4.5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102</v>
      </c>
      <c r="B27">
        <v>0</v>
      </c>
      <c r="C27">
        <v>0</v>
      </c>
      <c r="D27">
        <v>0</v>
      </c>
      <c r="E27">
        <v>0.5</v>
      </c>
      <c r="F27">
        <v>1.6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103</v>
      </c>
      <c r="B28">
        <v>0</v>
      </c>
      <c r="C28">
        <v>0</v>
      </c>
      <c r="D28">
        <v>0</v>
      </c>
      <c r="E28">
        <v>0</v>
      </c>
      <c r="F28">
        <v>3.1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104</v>
      </c>
      <c r="B29">
        <v>0</v>
      </c>
      <c r="C29">
        <v>0</v>
      </c>
      <c r="D29">
        <v>0</v>
      </c>
      <c r="E29">
        <v>0.15</v>
      </c>
      <c r="F29">
        <v>3.2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105</v>
      </c>
      <c r="B30">
        <v>0</v>
      </c>
      <c r="C30">
        <v>0</v>
      </c>
      <c r="D30">
        <v>0</v>
      </c>
      <c r="E30">
        <v>0.2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106</v>
      </c>
      <c r="B31">
        <v>0</v>
      </c>
      <c r="C31">
        <v>0</v>
      </c>
      <c r="D31">
        <v>0</v>
      </c>
      <c r="E31">
        <v>0.5</v>
      </c>
      <c r="F31">
        <v>4.3</v>
      </c>
      <c r="G31">
        <v>0.05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107</v>
      </c>
      <c r="B32">
        <v>0</v>
      </c>
      <c r="C32">
        <v>0</v>
      </c>
      <c r="D32">
        <v>0</v>
      </c>
      <c r="E32">
        <v>0.5</v>
      </c>
      <c r="F32">
        <v>4.3</v>
      </c>
      <c r="G32">
        <v>0.05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108</v>
      </c>
      <c r="B33">
        <v>0</v>
      </c>
      <c r="C33">
        <v>0</v>
      </c>
      <c r="D33">
        <v>0</v>
      </c>
      <c r="E33">
        <v>0.2</v>
      </c>
      <c r="F33">
        <v>3.8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109</v>
      </c>
      <c r="B34">
        <v>0</v>
      </c>
      <c r="C34">
        <v>0</v>
      </c>
      <c r="D34">
        <v>0</v>
      </c>
      <c r="E34">
        <v>0.7</v>
      </c>
      <c r="F34">
        <v>4.5</v>
      </c>
      <c r="G34">
        <v>0.05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110</v>
      </c>
      <c r="B35">
        <v>0</v>
      </c>
      <c r="C35">
        <v>0</v>
      </c>
      <c r="D35">
        <v>0</v>
      </c>
      <c r="E35">
        <v>0</v>
      </c>
      <c r="F35">
        <v>0.35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111</v>
      </c>
      <c r="B36">
        <v>0</v>
      </c>
      <c r="C36">
        <v>0</v>
      </c>
      <c r="D36">
        <v>0</v>
      </c>
      <c r="E36">
        <v>0.5</v>
      </c>
      <c r="F36">
        <v>1.6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112</v>
      </c>
      <c r="B37">
        <v>0</v>
      </c>
      <c r="C37">
        <v>0</v>
      </c>
      <c r="D37">
        <v>0</v>
      </c>
      <c r="E37">
        <v>0.1</v>
      </c>
      <c r="F37">
        <v>1.7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113</v>
      </c>
      <c r="B38">
        <v>0</v>
      </c>
      <c r="C38">
        <v>0</v>
      </c>
      <c r="D38">
        <v>0</v>
      </c>
      <c r="E38">
        <v>0</v>
      </c>
      <c r="F38">
        <v>2.2000000000000002</v>
      </c>
      <c r="G38">
        <v>0</v>
      </c>
      <c r="H38">
        <v>0</v>
      </c>
      <c r="I38">
        <v>0</v>
      </c>
      <c r="J38">
        <v>0</v>
      </c>
      <c r="K38">
        <v>0</v>
      </c>
      <c r="L38">
        <v>0.05</v>
      </c>
      <c r="M38">
        <v>0</v>
      </c>
      <c r="N38">
        <v>0</v>
      </c>
    </row>
    <row r="39" spans="1:14" x14ac:dyDescent="0.2">
      <c r="A39" t="s">
        <v>114</v>
      </c>
      <c r="B39">
        <v>0</v>
      </c>
      <c r="C39">
        <v>0</v>
      </c>
      <c r="D39">
        <v>0</v>
      </c>
      <c r="E39">
        <v>0.5</v>
      </c>
      <c r="F39">
        <v>4.5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115</v>
      </c>
      <c r="B40">
        <v>0</v>
      </c>
      <c r="C40">
        <v>0</v>
      </c>
      <c r="D40">
        <v>0</v>
      </c>
      <c r="E40">
        <v>0</v>
      </c>
      <c r="F40">
        <v>0.7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116</v>
      </c>
      <c r="B41">
        <v>0</v>
      </c>
      <c r="C41">
        <v>0</v>
      </c>
      <c r="D41">
        <v>0</v>
      </c>
      <c r="E41">
        <v>0</v>
      </c>
      <c r="F41">
        <v>0.35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117</v>
      </c>
      <c r="B42">
        <v>0</v>
      </c>
      <c r="C42">
        <v>0</v>
      </c>
      <c r="D42">
        <v>0</v>
      </c>
      <c r="E42">
        <v>0</v>
      </c>
      <c r="F42">
        <v>2.2000000000000002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118</v>
      </c>
      <c r="B43">
        <v>0</v>
      </c>
      <c r="C43">
        <v>0</v>
      </c>
      <c r="D43">
        <v>0</v>
      </c>
      <c r="E43">
        <v>0.5</v>
      </c>
      <c r="F43">
        <v>2.4</v>
      </c>
      <c r="G43">
        <v>0.05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119</v>
      </c>
      <c r="B44">
        <v>0</v>
      </c>
      <c r="C44">
        <v>0</v>
      </c>
      <c r="D44">
        <v>0</v>
      </c>
      <c r="E44">
        <v>0.05</v>
      </c>
      <c r="F44">
        <v>4.5</v>
      </c>
      <c r="G44">
        <v>0.05</v>
      </c>
      <c r="H44">
        <v>0</v>
      </c>
      <c r="I44">
        <v>0</v>
      </c>
      <c r="J44">
        <v>0.06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120</v>
      </c>
      <c r="B45">
        <v>0</v>
      </c>
      <c r="C45">
        <v>0</v>
      </c>
      <c r="D45">
        <v>0</v>
      </c>
      <c r="E45">
        <v>0.05</v>
      </c>
      <c r="F45">
        <v>4.5</v>
      </c>
      <c r="G45">
        <v>0.05</v>
      </c>
      <c r="H45">
        <v>0</v>
      </c>
      <c r="I45">
        <v>0</v>
      </c>
      <c r="J45">
        <v>0.06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121</v>
      </c>
      <c r="B46">
        <v>0</v>
      </c>
      <c r="C46">
        <v>0</v>
      </c>
      <c r="D46">
        <v>0</v>
      </c>
      <c r="E46">
        <v>0.7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122</v>
      </c>
      <c r="B47">
        <v>0</v>
      </c>
      <c r="C47">
        <v>0</v>
      </c>
      <c r="D47">
        <v>0</v>
      </c>
      <c r="E47">
        <v>0.6</v>
      </c>
      <c r="F47">
        <v>1.6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123</v>
      </c>
      <c r="B48">
        <v>0</v>
      </c>
      <c r="C48">
        <v>0</v>
      </c>
      <c r="D48">
        <v>0</v>
      </c>
      <c r="E48">
        <v>0.6</v>
      </c>
      <c r="F48">
        <v>1.6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124</v>
      </c>
      <c r="B49">
        <v>0</v>
      </c>
      <c r="C49">
        <v>0</v>
      </c>
      <c r="D49">
        <v>0</v>
      </c>
      <c r="E49">
        <v>0.5</v>
      </c>
      <c r="F49">
        <v>2.4</v>
      </c>
      <c r="G49">
        <v>0.05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125</v>
      </c>
      <c r="B50">
        <v>0</v>
      </c>
      <c r="C50">
        <v>0</v>
      </c>
      <c r="D50">
        <v>0</v>
      </c>
      <c r="E50">
        <v>0.5</v>
      </c>
      <c r="F50">
        <v>4.7</v>
      </c>
      <c r="G50">
        <v>0.05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126</v>
      </c>
      <c r="B51">
        <v>0</v>
      </c>
      <c r="C51">
        <v>0</v>
      </c>
      <c r="D51">
        <v>0</v>
      </c>
      <c r="E51">
        <v>0.7</v>
      </c>
      <c r="F51">
        <v>4.5</v>
      </c>
      <c r="G51">
        <v>0.05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127</v>
      </c>
      <c r="B52">
        <v>0</v>
      </c>
      <c r="C52">
        <v>0</v>
      </c>
      <c r="D52">
        <v>0</v>
      </c>
      <c r="E52">
        <v>0.7</v>
      </c>
      <c r="F52">
        <v>4.5</v>
      </c>
      <c r="G52">
        <v>0.05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128</v>
      </c>
      <c r="B53">
        <v>0</v>
      </c>
      <c r="C53">
        <v>0</v>
      </c>
      <c r="D53">
        <v>0</v>
      </c>
      <c r="E53">
        <v>0</v>
      </c>
      <c r="F53">
        <v>0.8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129</v>
      </c>
      <c r="B54">
        <v>0</v>
      </c>
      <c r="C54">
        <v>0</v>
      </c>
      <c r="D54">
        <v>0</v>
      </c>
      <c r="E54">
        <v>0.5</v>
      </c>
      <c r="F54">
        <v>2.4</v>
      </c>
      <c r="G54">
        <v>0.05</v>
      </c>
      <c r="H54">
        <v>0</v>
      </c>
      <c r="I54">
        <v>0</v>
      </c>
      <c r="J54">
        <v>0.05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130</v>
      </c>
      <c r="B55">
        <v>0</v>
      </c>
      <c r="C55">
        <v>0</v>
      </c>
      <c r="D55">
        <v>0</v>
      </c>
      <c r="E55">
        <v>0.6</v>
      </c>
      <c r="F55">
        <v>5</v>
      </c>
      <c r="G55">
        <v>0.05</v>
      </c>
      <c r="H55">
        <v>0</v>
      </c>
      <c r="I55">
        <v>0</v>
      </c>
      <c r="J55">
        <v>0.05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131</v>
      </c>
      <c r="B56">
        <v>0</v>
      </c>
      <c r="C56">
        <v>0</v>
      </c>
      <c r="D56">
        <v>0</v>
      </c>
      <c r="E56">
        <v>0.6</v>
      </c>
      <c r="F56">
        <v>5</v>
      </c>
      <c r="G56">
        <v>0.05</v>
      </c>
      <c r="H56">
        <v>0</v>
      </c>
      <c r="I56">
        <v>0</v>
      </c>
      <c r="J56">
        <v>0.05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132</v>
      </c>
      <c r="B57">
        <v>0</v>
      </c>
      <c r="C57">
        <v>0</v>
      </c>
      <c r="D57">
        <v>0</v>
      </c>
      <c r="E57">
        <v>0</v>
      </c>
      <c r="F57">
        <v>0.8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133</v>
      </c>
      <c r="B58">
        <v>0</v>
      </c>
      <c r="C58">
        <v>0</v>
      </c>
      <c r="D58">
        <v>0</v>
      </c>
      <c r="E58">
        <v>0</v>
      </c>
      <c r="F58">
        <v>3.1</v>
      </c>
      <c r="G58">
        <v>0.15</v>
      </c>
      <c r="H58">
        <v>0</v>
      </c>
      <c r="I58">
        <v>0</v>
      </c>
      <c r="J58">
        <v>0.05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134</v>
      </c>
      <c r="B59">
        <v>0</v>
      </c>
      <c r="C59">
        <v>0</v>
      </c>
      <c r="D59">
        <v>0</v>
      </c>
      <c r="E59">
        <v>0</v>
      </c>
      <c r="F59">
        <v>3.1</v>
      </c>
      <c r="G59">
        <v>0.15</v>
      </c>
      <c r="H59">
        <v>0</v>
      </c>
      <c r="I59">
        <v>0</v>
      </c>
      <c r="J59">
        <v>0.05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135</v>
      </c>
      <c r="B60">
        <v>0</v>
      </c>
      <c r="C60">
        <v>0</v>
      </c>
      <c r="D60">
        <v>0</v>
      </c>
      <c r="E60">
        <v>0</v>
      </c>
      <c r="F60">
        <v>0.6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136</v>
      </c>
      <c r="B61">
        <v>0</v>
      </c>
      <c r="C61">
        <v>0</v>
      </c>
      <c r="D61">
        <v>0</v>
      </c>
      <c r="E61">
        <v>0</v>
      </c>
      <c r="F61">
        <v>2.6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6AFF-737B-0740-9FF3-2F1734F820B6}">
  <dimension ref="A1:N61"/>
  <sheetViews>
    <sheetView workbookViewId="0">
      <selection activeCell="N1" sqref="N1"/>
    </sheetView>
  </sheetViews>
  <sheetFormatPr baseColWidth="10" defaultRowHeight="16" x14ac:dyDescent="0.2"/>
  <cols>
    <col min="1" max="1" width="15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77</v>
      </c>
      <c r="B2">
        <v>0.3</v>
      </c>
      <c r="C2">
        <v>0.7</v>
      </c>
      <c r="D2">
        <v>0.2</v>
      </c>
      <c r="E2">
        <v>0.2</v>
      </c>
      <c r="F2">
        <v>1.1000000000000001</v>
      </c>
      <c r="G2">
        <v>0.1</v>
      </c>
      <c r="H2">
        <v>0</v>
      </c>
      <c r="I2">
        <v>0.25</v>
      </c>
      <c r="J2">
        <v>0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78</v>
      </c>
      <c r="B3">
        <v>0.3</v>
      </c>
      <c r="C3">
        <v>0.45</v>
      </c>
      <c r="D3">
        <v>0.05</v>
      </c>
      <c r="E3">
        <v>0.15</v>
      </c>
      <c r="F3">
        <v>1.1000000000000001</v>
      </c>
      <c r="G3">
        <v>0.1</v>
      </c>
      <c r="H3">
        <v>0</v>
      </c>
      <c r="I3">
        <v>0.2</v>
      </c>
      <c r="J3">
        <v>0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79</v>
      </c>
      <c r="B4">
        <v>0.4</v>
      </c>
      <c r="C4">
        <v>0.8</v>
      </c>
      <c r="D4">
        <v>0.1</v>
      </c>
      <c r="E4">
        <v>0.8</v>
      </c>
      <c r="F4">
        <v>1.3</v>
      </c>
      <c r="G4">
        <v>0.1</v>
      </c>
      <c r="H4">
        <v>0</v>
      </c>
      <c r="I4">
        <v>0.25</v>
      </c>
      <c r="J4">
        <v>0.1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80</v>
      </c>
      <c r="B5">
        <v>0.4</v>
      </c>
      <c r="C5">
        <v>0.7</v>
      </c>
      <c r="D5">
        <v>0.25</v>
      </c>
      <c r="E5">
        <v>0.3</v>
      </c>
      <c r="F5">
        <v>0.6</v>
      </c>
      <c r="G5">
        <v>0.15</v>
      </c>
      <c r="H5">
        <v>0</v>
      </c>
      <c r="I5">
        <v>0.3</v>
      </c>
      <c r="J5">
        <v>0.1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81</v>
      </c>
      <c r="B6">
        <v>0.25</v>
      </c>
      <c r="C6">
        <v>0.4</v>
      </c>
      <c r="D6">
        <v>0.05</v>
      </c>
      <c r="E6">
        <v>0.6</v>
      </c>
      <c r="F6">
        <v>3.6</v>
      </c>
      <c r="G6">
        <v>0.3</v>
      </c>
      <c r="H6">
        <v>0</v>
      </c>
      <c r="I6">
        <v>0.2</v>
      </c>
      <c r="J6">
        <v>0.15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82</v>
      </c>
      <c r="B7">
        <v>0.4</v>
      </c>
      <c r="C7">
        <v>0.5</v>
      </c>
      <c r="D7">
        <v>0.1</v>
      </c>
      <c r="E7">
        <v>0.6</v>
      </c>
      <c r="F7">
        <v>5.6</v>
      </c>
      <c r="G7">
        <v>0.2</v>
      </c>
      <c r="H7">
        <v>0</v>
      </c>
      <c r="I7">
        <v>0.2</v>
      </c>
      <c r="J7">
        <v>0.2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83</v>
      </c>
      <c r="B8">
        <v>1.4</v>
      </c>
      <c r="C8">
        <v>1</v>
      </c>
      <c r="D8">
        <v>0.8</v>
      </c>
      <c r="E8">
        <v>1.8</v>
      </c>
      <c r="F8">
        <v>4.9000000000000004</v>
      </c>
      <c r="G8">
        <v>0.3</v>
      </c>
      <c r="H8">
        <v>0</v>
      </c>
      <c r="I8">
        <v>1</v>
      </c>
      <c r="J8">
        <v>0.2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84</v>
      </c>
      <c r="B9">
        <v>0.3</v>
      </c>
      <c r="C9">
        <v>0.7</v>
      </c>
      <c r="D9">
        <v>0.25</v>
      </c>
      <c r="E9">
        <v>1.4</v>
      </c>
      <c r="F9">
        <v>1.5</v>
      </c>
      <c r="G9">
        <v>0.3</v>
      </c>
      <c r="H9">
        <v>0</v>
      </c>
      <c r="I9">
        <v>0.25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85</v>
      </c>
      <c r="B10">
        <v>0.2</v>
      </c>
      <c r="C10">
        <v>0.35</v>
      </c>
      <c r="D10">
        <v>0.15</v>
      </c>
      <c r="E10">
        <v>0.5</v>
      </c>
      <c r="F10">
        <v>4</v>
      </c>
      <c r="G10">
        <v>0.1</v>
      </c>
      <c r="H10">
        <v>0</v>
      </c>
      <c r="I10">
        <v>0.25</v>
      </c>
      <c r="J10">
        <v>0.1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86</v>
      </c>
      <c r="B11">
        <v>0.4</v>
      </c>
      <c r="C11">
        <v>0.5</v>
      </c>
      <c r="D11">
        <v>0.1</v>
      </c>
      <c r="E11">
        <v>1.1000000000000001</v>
      </c>
      <c r="F11">
        <v>2.5</v>
      </c>
      <c r="G11">
        <v>0.3</v>
      </c>
      <c r="H11">
        <v>0</v>
      </c>
      <c r="I11">
        <v>0.2</v>
      </c>
      <c r="J11">
        <v>0.1</v>
      </c>
      <c r="K11">
        <v>0</v>
      </c>
      <c r="L11">
        <v>0</v>
      </c>
      <c r="M11">
        <v>0.05</v>
      </c>
      <c r="N11">
        <v>0.15</v>
      </c>
    </row>
    <row r="12" spans="1:14" x14ac:dyDescent="0.2">
      <c r="A12" t="s">
        <v>87</v>
      </c>
      <c r="B12">
        <v>0.4</v>
      </c>
      <c r="C12">
        <v>0.7</v>
      </c>
      <c r="D12">
        <v>0.2</v>
      </c>
      <c r="E12">
        <v>0.1</v>
      </c>
      <c r="F12">
        <v>1.8</v>
      </c>
      <c r="G12">
        <v>0.1</v>
      </c>
      <c r="H12">
        <v>0</v>
      </c>
      <c r="I12">
        <v>0.25</v>
      </c>
      <c r="J12">
        <v>0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88</v>
      </c>
      <c r="B13">
        <v>0.4</v>
      </c>
      <c r="C13">
        <v>0.7</v>
      </c>
      <c r="D13">
        <v>0.2</v>
      </c>
      <c r="E13">
        <v>0.3</v>
      </c>
      <c r="F13">
        <v>1.8</v>
      </c>
      <c r="G13">
        <v>0.1</v>
      </c>
      <c r="H13">
        <v>0</v>
      </c>
      <c r="I13">
        <v>0.25</v>
      </c>
      <c r="J13">
        <v>0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89</v>
      </c>
      <c r="B14">
        <v>0.3</v>
      </c>
      <c r="C14">
        <v>0.45</v>
      </c>
      <c r="D14">
        <v>0.05</v>
      </c>
      <c r="E14">
        <v>0.25</v>
      </c>
      <c r="F14">
        <v>2.1</v>
      </c>
      <c r="G14">
        <v>0.3</v>
      </c>
      <c r="H14">
        <v>0</v>
      </c>
      <c r="I14">
        <v>0.2</v>
      </c>
      <c r="J14">
        <v>0.1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90</v>
      </c>
      <c r="B15">
        <v>0.25</v>
      </c>
      <c r="C15">
        <v>0.4</v>
      </c>
      <c r="D15">
        <v>0.1</v>
      </c>
      <c r="E15">
        <v>0.1</v>
      </c>
      <c r="F15">
        <v>2.8</v>
      </c>
      <c r="G15">
        <v>0.35</v>
      </c>
      <c r="H15">
        <v>0</v>
      </c>
      <c r="I15">
        <v>0.1</v>
      </c>
      <c r="J15">
        <v>0</v>
      </c>
      <c r="K15">
        <v>0</v>
      </c>
      <c r="L15">
        <v>0</v>
      </c>
      <c r="M15">
        <v>0.05</v>
      </c>
      <c r="N15">
        <v>0.15</v>
      </c>
    </row>
    <row r="16" spans="1:14" x14ac:dyDescent="0.2">
      <c r="A16" t="s">
        <v>91</v>
      </c>
      <c r="B16">
        <v>0.4</v>
      </c>
      <c r="C16">
        <v>0.5</v>
      </c>
      <c r="D16">
        <v>0.1</v>
      </c>
      <c r="E16">
        <v>0.2</v>
      </c>
      <c r="F16">
        <v>5.6</v>
      </c>
      <c r="G16">
        <v>0.1</v>
      </c>
      <c r="H16">
        <v>0</v>
      </c>
      <c r="I16">
        <v>0.2</v>
      </c>
      <c r="J16">
        <v>0.2</v>
      </c>
      <c r="K16">
        <v>0</v>
      </c>
      <c r="L16">
        <v>0</v>
      </c>
      <c r="M16">
        <v>0.05</v>
      </c>
      <c r="N16">
        <v>0.15</v>
      </c>
    </row>
    <row r="17" spans="1:14" x14ac:dyDescent="0.2">
      <c r="A17" t="s">
        <v>92</v>
      </c>
      <c r="B17">
        <v>0.45</v>
      </c>
      <c r="C17">
        <v>0.5</v>
      </c>
      <c r="D17">
        <v>0.25</v>
      </c>
      <c r="E17">
        <v>1.2</v>
      </c>
      <c r="F17">
        <v>6</v>
      </c>
      <c r="G17">
        <v>0.25</v>
      </c>
      <c r="H17">
        <v>0</v>
      </c>
      <c r="I17">
        <v>0.9</v>
      </c>
      <c r="J17">
        <v>0.2</v>
      </c>
      <c r="K17">
        <v>0</v>
      </c>
      <c r="L17">
        <v>0</v>
      </c>
      <c r="M17">
        <v>0.05</v>
      </c>
      <c r="N17">
        <v>0.15</v>
      </c>
    </row>
    <row r="18" spans="1:14" x14ac:dyDescent="0.2">
      <c r="A18" t="s">
        <v>93</v>
      </c>
      <c r="B18">
        <v>0.25</v>
      </c>
      <c r="C18">
        <v>0.4</v>
      </c>
      <c r="D18">
        <v>0.25</v>
      </c>
      <c r="E18">
        <v>0.8</v>
      </c>
      <c r="F18">
        <v>4.5</v>
      </c>
      <c r="G18">
        <v>0.3</v>
      </c>
      <c r="H18">
        <v>0</v>
      </c>
      <c r="I18">
        <v>0.8</v>
      </c>
      <c r="J18">
        <v>0.15</v>
      </c>
      <c r="K18">
        <v>0</v>
      </c>
      <c r="L18">
        <v>0</v>
      </c>
      <c r="M18">
        <v>0.05</v>
      </c>
      <c r="N18">
        <v>0.15</v>
      </c>
    </row>
    <row r="19" spans="1:14" x14ac:dyDescent="0.2">
      <c r="A19" t="s">
        <v>94</v>
      </c>
      <c r="B19">
        <v>0.2</v>
      </c>
      <c r="C19">
        <v>0.35</v>
      </c>
      <c r="D19">
        <v>0.15</v>
      </c>
      <c r="E19">
        <v>0.15</v>
      </c>
      <c r="F19">
        <v>5</v>
      </c>
      <c r="G19">
        <v>0.15</v>
      </c>
      <c r="H19">
        <v>0</v>
      </c>
      <c r="I19">
        <v>0.25</v>
      </c>
      <c r="J19">
        <v>0.1</v>
      </c>
      <c r="K19">
        <v>0</v>
      </c>
      <c r="L19">
        <v>0</v>
      </c>
      <c r="M19">
        <v>0.05</v>
      </c>
      <c r="N19">
        <v>0.15</v>
      </c>
    </row>
    <row r="20" spans="1:14" x14ac:dyDescent="0.2">
      <c r="A20" t="s">
        <v>95</v>
      </c>
      <c r="B20">
        <v>0.4</v>
      </c>
      <c r="C20">
        <v>0.4</v>
      </c>
      <c r="D20">
        <v>0.1</v>
      </c>
      <c r="E20">
        <v>1</v>
      </c>
      <c r="F20">
        <v>4.9000000000000004</v>
      </c>
      <c r="G20">
        <v>0.25</v>
      </c>
      <c r="H20">
        <v>0</v>
      </c>
      <c r="I20">
        <v>0.25</v>
      </c>
      <c r="J20">
        <v>0.15</v>
      </c>
      <c r="K20">
        <v>0</v>
      </c>
      <c r="L20">
        <v>0</v>
      </c>
      <c r="M20">
        <v>0.05</v>
      </c>
      <c r="N20">
        <v>0.15</v>
      </c>
    </row>
    <row r="21" spans="1:14" x14ac:dyDescent="0.2">
      <c r="A21" t="s">
        <v>96</v>
      </c>
      <c r="B21">
        <v>0.4</v>
      </c>
      <c r="C21">
        <v>0.5</v>
      </c>
      <c r="D21">
        <v>0.1</v>
      </c>
      <c r="E21">
        <v>0.7</v>
      </c>
      <c r="F21">
        <v>4.5</v>
      </c>
      <c r="G21">
        <v>0.25</v>
      </c>
      <c r="H21">
        <v>0</v>
      </c>
      <c r="I21">
        <v>0.25</v>
      </c>
      <c r="J21">
        <v>0.15</v>
      </c>
      <c r="K21">
        <v>0</v>
      </c>
      <c r="L21">
        <v>0</v>
      </c>
      <c r="M21">
        <v>0.05</v>
      </c>
      <c r="N21">
        <v>0.15</v>
      </c>
    </row>
    <row r="22" spans="1:14" x14ac:dyDescent="0.2">
      <c r="A22" t="s">
        <v>97</v>
      </c>
      <c r="B22">
        <v>0.25</v>
      </c>
      <c r="C22">
        <v>0.4</v>
      </c>
      <c r="D22">
        <v>0.05</v>
      </c>
      <c r="E22">
        <v>1.1000000000000001</v>
      </c>
      <c r="F22">
        <v>5.2</v>
      </c>
      <c r="G22">
        <v>0.25</v>
      </c>
      <c r="H22">
        <v>0</v>
      </c>
      <c r="I22">
        <v>0.25</v>
      </c>
      <c r="J22">
        <v>0.15</v>
      </c>
      <c r="K22">
        <v>0</v>
      </c>
      <c r="L22">
        <v>0</v>
      </c>
      <c r="M22">
        <v>0.05</v>
      </c>
      <c r="N22">
        <v>0.15</v>
      </c>
    </row>
    <row r="23" spans="1:14" x14ac:dyDescent="0.2">
      <c r="A23" t="s">
        <v>98</v>
      </c>
      <c r="B23">
        <v>0.2</v>
      </c>
      <c r="C23">
        <v>0.35</v>
      </c>
      <c r="D23">
        <v>0.25</v>
      </c>
      <c r="E23">
        <v>0.5</v>
      </c>
      <c r="F23">
        <v>5.5</v>
      </c>
      <c r="G23">
        <v>0.15</v>
      </c>
      <c r="H23">
        <v>0</v>
      </c>
      <c r="I23">
        <v>0.4</v>
      </c>
      <c r="J23">
        <v>0</v>
      </c>
      <c r="K23">
        <v>0</v>
      </c>
      <c r="L23">
        <v>0</v>
      </c>
      <c r="M23">
        <v>0.05</v>
      </c>
      <c r="N23">
        <v>0.15</v>
      </c>
    </row>
    <row r="24" spans="1:14" x14ac:dyDescent="0.2">
      <c r="A24" t="s">
        <v>99</v>
      </c>
      <c r="B24">
        <v>0.08</v>
      </c>
      <c r="C24">
        <v>0.08</v>
      </c>
      <c r="D24">
        <v>0</v>
      </c>
      <c r="E24">
        <v>0.03</v>
      </c>
      <c r="F24">
        <v>0.6</v>
      </c>
      <c r="G24">
        <v>0</v>
      </c>
      <c r="H24">
        <v>0</v>
      </c>
      <c r="I24">
        <v>0.05</v>
      </c>
      <c r="J24">
        <v>0.02</v>
      </c>
      <c r="K24">
        <v>0</v>
      </c>
      <c r="L24">
        <v>0</v>
      </c>
      <c r="M24">
        <v>0.02</v>
      </c>
      <c r="N24">
        <v>0</v>
      </c>
    </row>
    <row r="25" spans="1:14" x14ac:dyDescent="0.2">
      <c r="A25" t="s">
        <v>100</v>
      </c>
      <c r="B25">
        <v>0.25</v>
      </c>
      <c r="C25">
        <v>0.4</v>
      </c>
      <c r="D25">
        <v>0.05</v>
      </c>
      <c r="E25">
        <v>0.6</v>
      </c>
      <c r="F25">
        <v>5.6</v>
      </c>
      <c r="G25">
        <v>0.3</v>
      </c>
      <c r="H25">
        <v>0</v>
      </c>
      <c r="I25">
        <v>0.2</v>
      </c>
      <c r="J25">
        <v>0.15</v>
      </c>
      <c r="K25">
        <v>0</v>
      </c>
      <c r="L25">
        <v>0</v>
      </c>
      <c r="M25">
        <v>0.05</v>
      </c>
      <c r="N25">
        <v>0.15</v>
      </c>
    </row>
    <row r="26" spans="1:14" x14ac:dyDescent="0.2">
      <c r="A26" t="s">
        <v>101</v>
      </c>
      <c r="B26">
        <v>0.25</v>
      </c>
      <c r="C26">
        <v>0.4</v>
      </c>
      <c r="D26">
        <v>0.05</v>
      </c>
      <c r="E26">
        <v>0.6</v>
      </c>
      <c r="F26">
        <v>5.6</v>
      </c>
      <c r="G26">
        <v>0.3</v>
      </c>
      <c r="H26">
        <v>0</v>
      </c>
      <c r="I26">
        <v>0.2</v>
      </c>
      <c r="J26">
        <v>0.15</v>
      </c>
      <c r="K26">
        <v>0</v>
      </c>
      <c r="L26">
        <v>0</v>
      </c>
      <c r="M26">
        <v>0.05</v>
      </c>
      <c r="N26">
        <v>0.15</v>
      </c>
    </row>
    <row r="27" spans="1:14" x14ac:dyDescent="0.2">
      <c r="A27" t="s">
        <v>102</v>
      </c>
      <c r="B27">
        <v>0.25</v>
      </c>
      <c r="C27">
        <v>0.4</v>
      </c>
      <c r="D27">
        <v>0.05</v>
      </c>
      <c r="E27">
        <v>1.1000000000000001</v>
      </c>
      <c r="F27">
        <v>2.5</v>
      </c>
      <c r="G27">
        <v>0.3</v>
      </c>
      <c r="H27">
        <v>0</v>
      </c>
      <c r="I27">
        <v>0.2</v>
      </c>
      <c r="J27">
        <v>0.15</v>
      </c>
      <c r="K27">
        <v>0</v>
      </c>
      <c r="L27">
        <v>0</v>
      </c>
      <c r="M27">
        <v>0.05</v>
      </c>
      <c r="N27">
        <v>0.15</v>
      </c>
    </row>
    <row r="28" spans="1:14" x14ac:dyDescent="0.2">
      <c r="A28" t="s">
        <v>103</v>
      </c>
      <c r="B28">
        <v>0.5</v>
      </c>
      <c r="C28">
        <v>0.5</v>
      </c>
      <c r="D28">
        <v>0.1</v>
      </c>
      <c r="E28">
        <v>0.5</v>
      </c>
      <c r="F28">
        <v>3.9</v>
      </c>
      <c r="G28">
        <v>0.25</v>
      </c>
      <c r="H28">
        <v>0</v>
      </c>
      <c r="I28">
        <v>0.2</v>
      </c>
      <c r="J28">
        <v>0.2</v>
      </c>
      <c r="K28">
        <v>0</v>
      </c>
      <c r="L28">
        <v>0</v>
      </c>
      <c r="M28">
        <v>0.05</v>
      </c>
      <c r="N28">
        <v>0.15</v>
      </c>
    </row>
    <row r="29" spans="1:14" x14ac:dyDescent="0.2">
      <c r="A29" t="s">
        <v>104</v>
      </c>
      <c r="B29">
        <v>0.35</v>
      </c>
      <c r="C29">
        <v>0.45</v>
      </c>
      <c r="D29">
        <v>0.05</v>
      </c>
      <c r="E29">
        <v>0.45</v>
      </c>
      <c r="F29">
        <v>3.8</v>
      </c>
      <c r="G29">
        <v>0.1</v>
      </c>
      <c r="H29">
        <v>0.01</v>
      </c>
      <c r="I29">
        <v>0.15</v>
      </c>
      <c r="J29">
        <v>0.15</v>
      </c>
      <c r="K29">
        <v>0</v>
      </c>
      <c r="L29">
        <v>0</v>
      </c>
      <c r="M29">
        <v>0.05</v>
      </c>
      <c r="N29">
        <v>0.15</v>
      </c>
    </row>
    <row r="30" spans="1:14" x14ac:dyDescent="0.2">
      <c r="A30" t="s">
        <v>105</v>
      </c>
      <c r="B30">
        <v>0.2</v>
      </c>
      <c r="C30">
        <v>0.35</v>
      </c>
      <c r="D30">
        <v>0.15</v>
      </c>
      <c r="E30">
        <v>0.5</v>
      </c>
      <c r="F30">
        <v>5</v>
      </c>
      <c r="G30">
        <v>0.1</v>
      </c>
      <c r="H30">
        <v>0</v>
      </c>
      <c r="I30">
        <v>0.25</v>
      </c>
      <c r="J30">
        <v>0.1</v>
      </c>
      <c r="K30">
        <v>0</v>
      </c>
      <c r="L30">
        <v>0</v>
      </c>
      <c r="M30">
        <v>0.05</v>
      </c>
      <c r="N30">
        <v>0.15</v>
      </c>
    </row>
    <row r="31" spans="1:14" x14ac:dyDescent="0.2">
      <c r="A31" t="s">
        <v>106</v>
      </c>
      <c r="B31">
        <v>0.4</v>
      </c>
      <c r="C31">
        <v>0.4</v>
      </c>
      <c r="D31">
        <v>0.1</v>
      </c>
      <c r="E31">
        <v>1</v>
      </c>
      <c r="F31">
        <v>5.2</v>
      </c>
      <c r="G31">
        <v>0.25</v>
      </c>
      <c r="H31">
        <v>0</v>
      </c>
      <c r="I31">
        <v>0.25</v>
      </c>
      <c r="J31">
        <v>0.15</v>
      </c>
      <c r="K31">
        <v>0</v>
      </c>
      <c r="L31">
        <v>0</v>
      </c>
      <c r="M31">
        <v>0.05</v>
      </c>
      <c r="N31">
        <v>0.15</v>
      </c>
    </row>
    <row r="32" spans="1:14" x14ac:dyDescent="0.2">
      <c r="A32" t="s">
        <v>107</v>
      </c>
      <c r="B32">
        <v>0.4</v>
      </c>
      <c r="C32">
        <v>0.4</v>
      </c>
      <c r="D32">
        <v>0.1</v>
      </c>
      <c r="E32">
        <v>1</v>
      </c>
      <c r="F32">
        <v>5.2</v>
      </c>
      <c r="G32">
        <v>0.25</v>
      </c>
      <c r="H32">
        <v>0</v>
      </c>
      <c r="I32">
        <v>0.25</v>
      </c>
      <c r="J32">
        <v>0.15</v>
      </c>
      <c r="K32">
        <v>0</v>
      </c>
      <c r="L32">
        <v>0</v>
      </c>
      <c r="M32">
        <v>0.05</v>
      </c>
      <c r="N32">
        <v>0.15</v>
      </c>
    </row>
    <row r="33" spans="1:14" x14ac:dyDescent="0.2">
      <c r="A33" t="s">
        <v>108</v>
      </c>
      <c r="B33">
        <v>0.4</v>
      </c>
      <c r="C33">
        <v>0.45</v>
      </c>
      <c r="D33">
        <v>0.25</v>
      </c>
      <c r="E33">
        <v>0.5</v>
      </c>
      <c r="F33">
        <v>4.8</v>
      </c>
      <c r="G33">
        <v>0.15</v>
      </c>
      <c r="H33">
        <v>0</v>
      </c>
      <c r="I33">
        <v>0.4</v>
      </c>
      <c r="J33">
        <v>0.15</v>
      </c>
      <c r="K33">
        <v>0</v>
      </c>
      <c r="L33">
        <v>0</v>
      </c>
      <c r="M33">
        <v>0.05</v>
      </c>
      <c r="N33">
        <v>0.15</v>
      </c>
    </row>
    <row r="34" spans="1:14" x14ac:dyDescent="0.2">
      <c r="A34" t="s">
        <v>109</v>
      </c>
      <c r="B34">
        <v>0.25</v>
      </c>
      <c r="C34">
        <v>0.4</v>
      </c>
      <c r="D34">
        <v>0.05</v>
      </c>
      <c r="E34">
        <v>1.1000000000000001</v>
      </c>
      <c r="F34">
        <v>5.2</v>
      </c>
      <c r="G34">
        <v>0.25</v>
      </c>
      <c r="H34">
        <v>0</v>
      </c>
      <c r="I34">
        <v>0.25</v>
      </c>
      <c r="J34">
        <v>0.15</v>
      </c>
      <c r="K34">
        <v>0</v>
      </c>
      <c r="L34">
        <v>0</v>
      </c>
      <c r="M34">
        <v>0.05</v>
      </c>
      <c r="N34">
        <v>0.15</v>
      </c>
    </row>
    <row r="35" spans="1:14" x14ac:dyDescent="0.2">
      <c r="A35" t="s">
        <v>110</v>
      </c>
      <c r="B35">
        <v>0.06</v>
      </c>
      <c r="C35">
        <v>0.04</v>
      </c>
      <c r="D35">
        <v>0</v>
      </c>
      <c r="E35">
        <v>0.03</v>
      </c>
      <c r="F35">
        <v>0.6</v>
      </c>
      <c r="G35">
        <v>0</v>
      </c>
      <c r="H35">
        <v>0</v>
      </c>
      <c r="I35">
        <v>0.04</v>
      </c>
      <c r="J35">
        <v>0.01</v>
      </c>
      <c r="K35">
        <v>0</v>
      </c>
      <c r="L35">
        <v>0</v>
      </c>
      <c r="M35">
        <v>0.01</v>
      </c>
      <c r="N35">
        <v>0</v>
      </c>
    </row>
    <row r="36" spans="1:14" x14ac:dyDescent="0.2">
      <c r="A36" t="s">
        <v>111</v>
      </c>
      <c r="B36">
        <v>0.25</v>
      </c>
      <c r="C36">
        <v>0.4</v>
      </c>
      <c r="D36">
        <v>0.05</v>
      </c>
      <c r="E36">
        <v>1.1000000000000001</v>
      </c>
      <c r="F36">
        <v>2.5</v>
      </c>
      <c r="G36">
        <v>0.3</v>
      </c>
      <c r="H36">
        <v>0</v>
      </c>
      <c r="I36">
        <v>0.2</v>
      </c>
      <c r="J36">
        <v>0.15</v>
      </c>
      <c r="K36">
        <v>0</v>
      </c>
      <c r="L36">
        <v>0</v>
      </c>
      <c r="M36">
        <v>0.05</v>
      </c>
      <c r="N36">
        <v>0.15</v>
      </c>
    </row>
    <row r="37" spans="1:14" x14ac:dyDescent="0.2">
      <c r="A37" t="s">
        <v>112</v>
      </c>
      <c r="B37">
        <v>0.4</v>
      </c>
      <c r="C37">
        <v>0.5</v>
      </c>
      <c r="D37">
        <v>0.15</v>
      </c>
      <c r="E37">
        <v>0.5</v>
      </c>
      <c r="F37">
        <v>2.4</v>
      </c>
      <c r="G37">
        <v>0.15</v>
      </c>
      <c r="H37">
        <v>0</v>
      </c>
      <c r="I37">
        <v>0.15</v>
      </c>
      <c r="J37">
        <v>0.15</v>
      </c>
      <c r="K37">
        <v>0</v>
      </c>
      <c r="L37">
        <v>0</v>
      </c>
      <c r="M37">
        <v>0.05</v>
      </c>
      <c r="N37">
        <v>0.15</v>
      </c>
    </row>
    <row r="38" spans="1:14" x14ac:dyDescent="0.2">
      <c r="A38" t="s">
        <v>113</v>
      </c>
      <c r="B38">
        <v>0.08</v>
      </c>
      <c r="C38">
        <v>0.1</v>
      </c>
      <c r="D38">
        <v>0.1</v>
      </c>
      <c r="E38">
        <v>0.1</v>
      </c>
      <c r="F38">
        <v>2.8</v>
      </c>
      <c r="G38">
        <v>0</v>
      </c>
      <c r="H38">
        <v>0</v>
      </c>
      <c r="I38">
        <v>0.05</v>
      </c>
      <c r="J38">
        <v>0</v>
      </c>
      <c r="K38">
        <v>0</v>
      </c>
      <c r="L38">
        <v>0.05</v>
      </c>
      <c r="M38">
        <v>0.03</v>
      </c>
      <c r="N38">
        <v>0.1</v>
      </c>
    </row>
    <row r="39" spans="1:14" x14ac:dyDescent="0.2">
      <c r="A39" t="s">
        <v>114</v>
      </c>
      <c r="B39">
        <v>0.3</v>
      </c>
      <c r="C39">
        <v>0.3</v>
      </c>
      <c r="D39">
        <v>0.03</v>
      </c>
      <c r="E39">
        <v>1</v>
      </c>
      <c r="F39">
        <v>5.0999999999999996</v>
      </c>
      <c r="G39">
        <v>0.05</v>
      </c>
      <c r="H39">
        <v>0.03</v>
      </c>
      <c r="I39">
        <v>0.1</v>
      </c>
      <c r="J39">
        <v>0.03</v>
      </c>
      <c r="K39">
        <v>0</v>
      </c>
      <c r="L39">
        <v>0</v>
      </c>
      <c r="M39">
        <v>0.05</v>
      </c>
      <c r="N39">
        <v>0.15</v>
      </c>
    </row>
    <row r="40" spans="1:14" x14ac:dyDescent="0.2">
      <c r="A40" t="s">
        <v>115</v>
      </c>
      <c r="B40">
        <v>0.08</v>
      </c>
      <c r="C40">
        <v>0.08</v>
      </c>
      <c r="D40">
        <v>0</v>
      </c>
      <c r="E40">
        <v>0.03</v>
      </c>
      <c r="F40">
        <v>1.1000000000000001</v>
      </c>
      <c r="G40">
        <v>0</v>
      </c>
      <c r="H40">
        <v>0</v>
      </c>
      <c r="I40">
        <v>0.05</v>
      </c>
      <c r="J40">
        <v>0.02</v>
      </c>
      <c r="K40">
        <v>0</v>
      </c>
      <c r="L40">
        <v>0</v>
      </c>
      <c r="M40">
        <v>0.02</v>
      </c>
      <c r="N40">
        <v>0</v>
      </c>
    </row>
    <row r="41" spans="1:14" x14ac:dyDescent="0.2">
      <c r="A41" t="s">
        <v>116</v>
      </c>
      <c r="B41">
        <v>0.01</v>
      </c>
      <c r="C41">
        <v>8.0000000000000002E-3</v>
      </c>
      <c r="D41">
        <v>0</v>
      </c>
      <c r="E41">
        <v>0</v>
      </c>
      <c r="F41">
        <v>0.6</v>
      </c>
      <c r="G41">
        <v>0</v>
      </c>
      <c r="H41">
        <v>0</v>
      </c>
      <c r="I41">
        <v>0.01</v>
      </c>
      <c r="J41">
        <v>8.0000000000000002E-3</v>
      </c>
      <c r="K41">
        <v>0</v>
      </c>
      <c r="L41">
        <v>0</v>
      </c>
      <c r="M41">
        <v>3.0000000000000001E-3</v>
      </c>
      <c r="N41">
        <v>0</v>
      </c>
    </row>
    <row r="42" spans="1:14" x14ac:dyDescent="0.2">
      <c r="A42" t="s">
        <v>117</v>
      </c>
      <c r="B42">
        <v>0.22500000000000001</v>
      </c>
      <c r="C42">
        <v>0.22500000000000001</v>
      </c>
      <c r="D42">
        <v>0.1</v>
      </c>
      <c r="E42">
        <v>0.1</v>
      </c>
      <c r="F42">
        <v>2.8</v>
      </c>
      <c r="G42">
        <v>0.1</v>
      </c>
      <c r="H42">
        <v>0</v>
      </c>
      <c r="I42">
        <v>0.1</v>
      </c>
      <c r="J42">
        <v>0.1</v>
      </c>
      <c r="K42">
        <v>0</v>
      </c>
      <c r="L42">
        <v>0</v>
      </c>
      <c r="M42">
        <v>0.05</v>
      </c>
      <c r="N42">
        <v>0.15</v>
      </c>
    </row>
    <row r="43" spans="1:14" x14ac:dyDescent="0.2">
      <c r="A43" t="s">
        <v>118</v>
      </c>
      <c r="B43">
        <v>0.25</v>
      </c>
      <c r="C43">
        <v>0.4</v>
      </c>
      <c r="D43">
        <v>0.05</v>
      </c>
      <c r="E43">
        <v>1</v>
      </c>
      <c r="F43">
        <v>3</v>
      </c>
      <c r="G43">
        <v>0.2</v>
      </c>
      <c r="H43">
        <v>0</v>
      </c>
      <c r="I43">
        <v>0.25</v>
      </c>
      <c r="J43">
        <v>0.15</v>
      </c>
      <c r="K43">
        <v>0</v>
      </c>
      <c r="L43">
        <v>0</v>
      </c>
      <c r="M43">
        <v>0.05</v>
      </c>
      <c r="N43">
        <v>0.15</v>
      </c>
    </row>
    <row r="44" spans="1:14" x14ac:dyDescent="0.2">
      <c r="A44" t="s">
        <v>119</v>
      </c>
      <c r="B44">
        <v>0.25</v>
      </c>
      <c r="C44">
        <v>0.4</v>
      </c>
      <c r="D44">
        <v>0.1</v>
      </c>
      <c r="E44">
        <v>0.2</v>
      </c>
      <c r="F44">
        <v>5.5</v>
      </c>
      <c r="G44">
        <v>0.2</v>
      </c>
      <c r="H44">
        <v>0</v>
      </c>
      <c r="I44">
        <v>0.1</v>
      </c>
      <c r="J44">
        <v>0.2</v>
      </c>
      <c r="K44">
        <v>0</v>
      </c>
      <c r="L44">
        <v>0</v>
      </c>
      <c r="M44">
        <v>0.05</v>
      </c>
      <c r="N44">
        <v>0.15</v>
      </c>
    </row>
    <row r="45" spans="1:14" x14ac:dyDescent="0.2">
      <c r="A45" t="s">
        <v>120</v>
      </c>
      <c r="B45">
        <v>0.25</v>
      </c>
      <c r="C45">
        <v>0.4</v>
      </c>
      <c r="D45">
        <v>0.1</v>
      </c>
      <c r="E45">
        <v>0.2</v>
      </c>
      <c r="F45">
        <v>5.5</v>
      </c>
      <c r="G45">
        <v>0.2</v>
      </c>
      <c r="H45">
        <v>0</v>
      </c>
      <c r="I45">
        <v>0.1</v>
      </c>
      <c r="J45">
        <v>0.2</v>
      </c>
      <c r="K45">
        <v>0</v>
      </c>
      <c r="L45">
        <v>0</v>
      </c>
      <c r="M45">
        <v>0.05</v>
      </c>
      <c r="N45">
        <v>0.15</v>
      </c>
    </row>
    <row r="46" spans="1:14" x14ac:dyDescent="0.2">
      <c r="A46" t="s">
        <v>121</v>
      </c>
      <c r="B46">
        <v>0.25</v>
      </c>
      <c r="C46">
        <v>0.25</v>
      </c>
      <c r="D46">
        <v>0.2</v>
      </c>
      <c r="E46">
        <v>1</v>
      </c>
      <c r="F46">
        <v>5.2</v>
      </c>
      <c r="G46">
        <v>0.25</v>
      </c>
      <c r="H46">
        <v>0</v>
      </c>
      <c r="I46">
        <v>0.4</v>
      </c>
      <c r="J46">
        <v>0.15</v>
      </c>
      <c r="K46">
        <v>0</v>
      </c>
      <c r="L46">
        <v>0</v>
      </c>
      <c r="M46">
        <v>0.05</v>
      </c>
      <c r="N46">
        <v>0.15</v>
      </c>
    </row>
    <row r="47" spans="1:14" x14ac:dyDescent="0.2">
      <c r="A47" t="s">
        <v>122</v>
      </c>
      <c r="B47">
        <v>0.4</v>
      </c>
      <c r="C47">
        <v>0.7</v>
      </c>
      <c r="D47">
        <v>0.3</v>
      </c>
      <c r="E47">
        <v>1.1000000000000001</v>
      </c>
      <c r="F47">
        <v>2.6</v>
      </c>
      <c r="G47">
        <v>0.3</v>
      </c>
      <c r="H47">
        <v>0</v>
      </c>
      <c r="I47">
        <v>0.3</v>
      </c>
      <c r="J47">
        <v>0.1</v>
      </c>
      <c r="K47">
        <v>0</v>
      </c>
      <c r="L47">
        <v>0</v>
      </c>
      <c r="M47">
        <v>0.05</v>
      </c>
      <c r="N47">
        <v>0.15</v>
      </c>
    </row>
    <row r="48" spans="1:14" x14ac:dyDescent="0.2">
      <c r="A48" t="s">
        <v>123</v>
      </c>
      <c r="B48">
        <v>0.6</v>
      </c>
      <c r="C48">
        <v>1.2</v>
      </c>
      <c r="D48">
        <v>0.3</v>
      </c>
      <c r="E48">
        <v>1.1000000000000001</v>
      </c>
      <c r="F48">
        <v>2.6</v>
      </c>
      <c r="G48">
        <v>0.3</v>
      </c>
      <c r="H48">
        <v>0.1</v>
      </c>
      <c r="I48">
        <v>0.3</v>
      </c>
      <c r="J48">
        <v>0.1</v>
      </c>
      <c r="K48">
        <v>0</v>
      </c>
      <c r="L48">
        <v>0</v>
      </c>
      <c r="M48">
        <v>0.05</v>
      </c>
      <c r="N48">
        <v>0.15</v>
      </c>
    </row>
    <row r="49" spans="1:14" x14ac:dyDescent="0.2">
      <c r="A49" t="s">
        <v>124</v>
      </c>
      <c r="B49">
        <v>0.25</v>
      </c>
      <c r="C49">
        <v>0.4</v>
      </c>
      <c r="D49">
        <v>0.1</v>
      </c>
      <c r="E49">
        <v>1</v>
      </c>
      <c r="F49">
        <v>3</v>
      </c>
      <c r="G49">
        <v>0.2</v>
      </c>
      <c r="H49">
        <v>0</v>
      </c>
      <c r="I49">
        <v>0.25</v>
      </c>
      <c r="J49">
        <v>0.2</v>
      </c>
      <c r="K49">
        <v>0</v>
      </c>
      <c r="L49">
        <v>0</v>
      </c>
      <c r="M49">
        <v>0.05</v>
      </c>
      <c r="N49">
        <v>0.15</v>
      </c>
    </row>
    <row r="50" spans="1:14" x14ac:dyDescent="0.2">
      <c r="A50" t="s">
        <v>125</v>
      </c>
      <c r="B50">
        <v>0.25</v>
      </c>
      <c r="C50">
        <v>0.4</v>
      </c>
      <c r="D50">
        <v>0.1</v>
      </c>
      <c r="E50">
        <v>1</v>
      </c>
      <c r="F50">
        <v>5.5</v>
      </c>
      <c r="G50">
        <v>0.2</v>
      </c>
      <c r="H50">
        <v>0</v>
      </c>
      <c r="I50">
        <v>0.25</v>
      </c>
      <c r="J50">
        <v>0.2</v>
      </c>
      <c r="K50">
        <v>0</v>
      </c>
      <c r="L50">
        <v>0</v>
      </c>
      <c r="M50">
        <v>0.05</v>
      </c>
      <c r="N50">
        <v>0.15</v>
      </c>
    </row>
    <row r="51" spans="1:14" x14ac:dyDescent="0.2">
      <c r="A51" t="s">
        <v>126</v>
      </c>
      <c r="B51">
        <v>0.25</v>
      </c>
      <c r="C51">
        <v>0.4</v>
      </c>
      <c r="D51">
        <v>0.05</v>
      </c>
      <c r="E51">
        <v>1.1000000000000001</v>
      </c>
      <c r="F51">
        <v>5.2</v>
      </c>
      <c r="G51">
        <v>0.25</v>
      </c>
      <c r="H51">
        <v>0</v>
      </c>
      <c r="I51">
        <v>0.25</v>
      </c>
      <c r="J51">
        <v>0.15</v>
      </c>
      <c r="K51">
        <v>0</v>
      </c>
      <c r="L51">
        <v>0</v>
      </c>
      <c r="M51">
        <v>0.05</v>
      </c>
      <c r="N51">
        <v>0.15</v>
      </c>
    </row>
    <row r="52" spans="1:14" x14ac:dyDescent="0.2">
      <c r="A52" t="s">
        <v>127</v>
      </c>
      <c r="B52">
        <v>0.25</v>
      </c>
      <c r="C52">
        <v>0.4</v>
      </c>
      <c r="D52">
        <v>0.05</v>
      </c>
      <c r="E52">
        <v>1.1000000000000001</v>
      </c>
      <c r="F52">
        <v>5.2</v>
      </c>
      <c r="G52">
        <v>0.25</v>
      </c>
      <c r="H52">
        <v>0</v>
      </c>
      <c r="I52">
        <v>0.25</v>
      </c>
      <c r="J52">
        <v>0.15</v>
      </c>
      <c r="K52">
        <v>0</v>
      </c>
      <c r="L52">
        <v>0</v>
      </c>
      <c r="M52">
        <v>0.05</v>
      </c>
      <c r="N52">
        <v>0.15</v>
      </c>
    </row>
    <row r="53" spans="1:14" x14ac:dyDescent="0.2">
      <c r="A53" t="s">
        <v>128</v>
      </c>
      <c r="B53">
        <v>0.06</v>
      </c>
      <c r="C53">
        <v>0.04</v>
      </c>
      <c r="D53">
        <v>0</v>
      </c>
      <c r="E53">
        <v>0.03</v>
      </c>
      <c r="F53">
        <v>1.1000000000000001</v>
      </c>
      <c r="G53">
        <v>0</v>
      </c>
      <c r="H53">
        <v>0</v>
      </c>
      <c r="I53">
        <v>0.04</v>
      </c>
      <c r="J53">
        <v>0.01</v>
      </c>
      <c r="K53">
        <v>0</v>
      </c>
      <c r="L53">
        <v>0</v>
      </c>
      <c r="M53">
        <v>0.01</v>
      </c>
      <c r="N53">
        <v>0</v>
      </c>
    </row>
    <row r="54" spans="1:14" x14ac:dyDescent="0.2">
      <c r="A54" t="s">
        <v>129</v>
      </c>
      <c r="B54">
        <v>0.25</v>
      </c>
      <c r="C54">
        <v>0.4</v>
      </c>
      <c r="D54">
        <v>0.1</v>
      </c>
      <c r="E54">
        <v>1</v>
      </c>
      <c r="F54">
        <v>3</v>
      </c>
      <c r="G54">
        <v>0.2</v>
      </c>
      <c r="H54">
        <v>0</v>
      </c>
      <c r="I54">
        <v>0.25</v>
      </c>
      <c r="J54">
        <v>0.2</v>
      </c>
      <c r="K54">
        <v>0</v>
      </c>
      <c r="L54">
        <v>0</v>
      </c>
      <c r="M54">
        <v>0.05</v>
      </c>
      <c r="N54">
        <v>0.15</v>
      </c>
    </row>
    <row r="55" spans="1:14" x14ac:dyDescent="0.2">
      <c r="A55" t="s">
        <v>130</v>
      </c>
      <c r="B55">
        <v>0.25</v>
      </c>
      <c r="C55">
        <v>0.4</v>
      </c>
      <c r="D55">
        <v>0.1</v>
      </c>
      <c r="E55">
        <v>1</v>
      </c>
      <c r="F55">
        <v>5.5</v>
      </c>
      <c r="G55">
        <v>0.2</v>
      </c>
      <c r="H55">
        <v>0</v>
      </c>
      <c r="I55">
        <v>0.2</v>
      </c>
      <c r="J55">
        <v>0.2</v>
      </c>
      <c r="K55">
        <v>0</v>
      </c>
      <c r="L55">
        <v>0</v>
      </c>
      <c r="M55">
        <v>0.05</v>
      </c>
      <c r="N55">
        <v>0.15</v>
      </c>
    </row>
    <row r="56" spans="1:14" x14ac:dyDescent="0.2">
      <c r="A56" t="s">
        <v>131</v>
      </c>
      <c r="B56">
        <v>0.25</v>
      </c>
      <c r="C56">
        <v>0.4</v>
      </c>
      <c r="D56">
        <v>0.1</v>
      </c>
      <c r="E56">
        <v>1</v>
      </c>
      <c r="F56">
        <v>5.5</v>
      </c>
      <c r="G56">
        <v>0.2</v>
      </c>
      <c r="H56">
        <v>0</v>
      </c>
      <c r="I56">
        <v>0.2</v>
      </c>
      <c r="J56">
        <v>0.2</v>
      </c>
      <c r="K56">
        <v>0</v>
      </c>
      <c r="L56">
        <v>0</v>
      </c>
      <c r="M56">
        <v>0.05</v>
      </c>
      <c r="N56">
        <v>0.15</v>
      </c>
    </row>
    <row r="57" spans="1:14" x14ac:dyDescent="0.2">
      <c r="A57" t="s">
        <v>132</v>
      </c>
      <c r="B57">
        <v>0.01</v>
      </c>
      <c r="C57">
        <v>8.0000000000000002E-3</v>
      </c>
      <c r="D57">
        <v>0</v>
      </c>
      <c r="E57">
        <v>0</v>
      </c>
      <c r="F57">
        <v>1.1000000000000001</v>
      </c>
      <c r="G57">
        <v>0</v>
      </c>
      <c r="H57">
        <v>0</v>
      </c>
      <c r="I57">
        <v>0.01</v>
      </c>
      <c r="J57">
        <v>8.0000000000000002E-3</v>
      </c>
      <c r="K57">
        <v>0</v>
      </c>
      <c r="L57">
        <v>0</v>
      </c>
      <c r="M57">
        <v>3.0000000000000001E-3</v>
      </c>
      <c r="N57">
        <v>0</v>
      </c>
    </row>
    <row r="58" spans="1:14" x14ac:dyDescent="0.2">
      <c r="A58" t="s">
        <v>133</v>
      </c>
      <c r="B58">
        <v>0.22500000000000001</v>
      </c>
      <c r="C58">
        <v>0.22500000000000001</v>
      </c>
      <c r="D58">
        <v>0.05</v>
      </c>
      <c r="E58">
        <v>0.01</v>
      </c>
      <c r="F58">
        <v>3.9</v>
      </c>
      <c r="G58">
        <v>0.35</v>
      </c>
      <c r="H58">
        <v>0</v>
      </c>
      <c r="I58">
        <v>0.2</v>
      </c>
      <c r="J58">
        <v>0.15</v>
      </c>
      <c r="K58">
        <v>0</v>
      </c>
      <c r="L58">
        <v>0</v>
      </c>
      <c r="M58">
        <v>0.05</v>
      </c>
      <c r="N58">
        <v>0.15</v>
      </c>
    </row>
    <row r="59" spans="1:14" x14ac:dyDescent="0.2">
      <c r="A59" t="s">
        <v>134</v>
      </c>
      <c r="B59">
        <v>0.22500000000000001</v>
      </c>
      <c r="C59">
        <v>0.22500000000000001</v>
      </c>
      <c r="D59">
        <v>0.05</v>
      </c>
      <c r="E59">
        <v>0.01</v>
      </c>
      <c r="F59">
        <v>3.9</v>
      </c>
      <c r="G59">
        <v>0.35</v>
      </c>
      <c r="H59">
        <v>0</v>
      </c>
      <c r="I59">
        <v>0.2</v>
      </c>
      <c r="J59">
        <v>0.15</v>
      </c>
      <c r="K59">
        <v>0</v>
      </c>
      <c r="L59">
        <v>0</v>
      </c>
      <c r="M59">
        <v>0.05</v>
      </c>
      <c r="N59">
        <v>0.15</v>
      </c>
    </row>
    <row r="60" spans="1:14" x14ac:dyDescent="0.2">
      <c r="A60" t="s">
        <v>135</v>
      </c>
      <c r="B60">
        <v>0.08</v>
      </c>
      <c r="C60">
        <v>0.1</v>
      </c>
      <c r="D60">
        <v>0.1</v>
      </c>
      <c r="E60">
        <v>0.03</v>
      </c>
      <c r="F60">
        <v>1</v>
      </c>
      <c r="G60">
        <v>0</v>
      </c>
      <c r="H60">
        <v>0</v>
      </c>
      <c r="I60">
        <v>0.05</v>
      </c>
      <c r="J60">
        <v>0</v>
      </c>
      <c r="K60">
        <v>0.03</v>
      </c>
      <c r="L60">
        <v>0.05</v>
      </c>
      <c r="M60">
        <v>0.02</v>
      </c>
      <c r="N60">
        <v>0.05</v>
      </c>
    </row>
    <row r="61" spans="1:14" x14ac:dyDescent="0.2">
      <c r="A61" t="s">
        <v>136</v>
      </c>
      <c r="B61">
        <v>0.4</v>
      </c>
      <c r="C61">
        <v>0.4</v>
      </c>
      <c r="D61">
        <v>0.1</v>
      </c>
      <c r="E61">
        <v>0.5</v>
      </c>
      <c r="F61">
        <v>3.6</v>
      </c>
      <c r="G61">
        <v>0.3</v>
      </c>
      <c r="H61">
        <v>0</v>
      </c>
      <c r="I61">
        <v>0.2</v>
      </c>
      <c r="J61">
        <v>0.15</v>
      </c>
      <c r="K61">
        <v>0</v>
      </c>
      <c r="L61">
        <v>0</v>
      </c>
      <c r="M61">
        <v>0.05</v>
      </c>
      <c r="N61">
        <v>0.15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EBAC-EBB2-F749-99D6-C38465BAFBB6}">
  <dimension ref="A1:N47"/>
  <sheetViews>
    <sheetView workbookViewId="0">
      <selection activeCell="A35" sqref="A35:XFD35"/>
    </sheetView>
  </sheetViews>
  <sheetFormatPr baseColWidth="10" defaultRowHeight="16" x14ac:dyDescent="0.2"/>
  <cols>
    <col min="1" max="1" width="16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137</v>
      </c>
      <c r="B2">
        <v>0.35</v>
      </c>
      <c r="C2">
        <v>0</v>
      </c>
      <c r="D2">
        <v>0</v>
      </c>
      <c r="E2">
        <v>0</v>
      </c>
      <c r="F2">
        <v>0.8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138</v>
      </c>
      <c r="B3">
        <v>0.6</v>
      </c>
      <c r="C3">
        <v>0</v>
      </c>
      <c r="D3">
        <v>0</v>
      </c>
      <c r="E3">
        <v>0</v>
      </c>
      <c r="F3">
        <v>0.4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139</v>
      </c>
      <c r="B4">
        <v>0.5</v>
      </c>
      <c r="C4">
        <v>0</v>
      </c>
      <c r="D4">
        <v>0</v>
      </c>
      <c r="E4">
        <v>0</v>
      </c>
      <c r="F4">
        <v>0.4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140</v>
      </c>
      <c r="B5">
        <v>0.45</v>
      </c>
      <c r="C5">
        <v>0</v>
      </c>
      <c r="D5">
        <v>0</v>
      </c>
      <c r="E5">
        <v>0</v>
      </c>
      <c r="F5">
        <v>0.4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141</v>
      </c>
      <c r="B6">
        <v>0.5</v>
      </c>
      <c r="C6">
        <v>0</v>
      </c>
      <c r="D6">
        <v>0</v>
      </c>
      <c r="E6">
        <v>0</v>
      </c>
      <c r="F6">
        <v>0.4</v>
      </c>
      <c r="G6">
        <v>0</v>
      </c>
      <c r="H6">
        <v>0</v>
      </c>
      <c r="I6">
        <v>0</v>
      </c>
      <c r="J6">
        <v>0</v>
      </c>
      <c r="K6">
        <v>0</v>
      </c>
      <c r="L6">
        <v>0.05</v>
      </c>
      <c r="M6">
        <v>0</v>
      </c>
      <c r="N6">
        <v>0</v>
      </c>
    </row>
    <row r="7" spans="1:14" x14ac:dyDescent="0.2">
      <c r="A7" t="s">
        <v>142</v>
      </c>
      <c r="B7">
        <v>0.6</v>
      </c>
      <c r="C7">
        <v>0</v>
      </c>
      <c r="D7">
        <v>0.4</v>
      </c>
      <c r="E7">
        <v>0</v>
      </c>
      <c r="F7">
        <v>0.6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143</v>
      </c>
      <c r="B8">
        <v>0.6</v>
      </c>
      <c r="C8">
        <v>0</v>
      </c>
      <c r="D8">
        <v>0</v>
      </c>
      <c r="E8">
        <v>0.4</v>
      </c>
      <c r="F8">
        <v>0.6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144</v>
      </c>
      <c r="B9">
        <v>0.6</v>
      </c>
      <c r="C9">
        <v>0</v>
      </c>
      <c r="D9">
        <v>0</v>
      </c>
      <c r="E9">
        <v>0.2</v>
      </c>
      <c r="F9">
        <v>0.6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145</v>
      </c>
      <c r="B10">
        <v>0.6</v>
      </c>
      <c r="C10">
        <v>0</v>
      </c>
      <c r="D10">
        <v>0.6</v>
      </c>
      <c r="E10">
        <v>0.2</v>
      </c>
      <c r="F10">
        <v>0.8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146</v>
      </c>
      <c r="B11">
        <v>0.3</v>
      </c>
      <c r="C11">
        <v>0</v>
      </c>
      <c r="D11">
        <v>0</v>
      </c>
      <c r="E11">
        <v>0.05</v>
      </c>
      <c r="F11">
        <v>0.4</v>
      </c>
      <c r="G11">
        <v>0</v>
      </c>
      <c r="H11">
        <v>0</v>
      </c>
      <c r="I11">
        <v>0</v>
      </c>
      <c r="J11">
        <v>0</v>
      </c>
      <c r="K11">
        <v>0</v>
      </c>
      <c r="L11">
        <v>0.05</v>
      </c>
      <c r="M11">
        <v>0</v>
      </c>
      <c r="N11">
        <v>0</v>
      </c>
    </row>
    <row r="12" spans="1:14" x14ac:dyDescent="0.2">
      <c r="A12" t="s">
        <v>147</v>
      </c>
      <c r="B12">
        <v>0.2</v>
      </c>
      <c r="C12">
        <v>0.1</v>
      </c>
      <c r="D12">
        <v>0.1</v>
      </c>
      <c r="E12">
        <v>0</v>
      </c>
      <c r="F12">
        <v>0.8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148</v>
      </c>
      <c r="B13">
        <v>1</v>
      </c>
      <c r="C13">
        <v>0</v>
      </c>
      <c r="D13">
        <v>0</v>
      </c>
      <c r="E13">
        <v>0</v>
      </c>
      <c r="F13">
        <v>0.25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149</v>
      </c>
      <c r="B14">
        <v>0.5</v>
      </c>
      <c r="C14">
        <v>0</v>
      </c>
      <c r="D14">
        <v>0.15</v>
      </c>
      <c r="E14">
        <v>0.3</v>
      </c>
      <c r="F14">
        <v>0.6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396</v>
      </c>
      <c r="B15">
        <v>0.8</v>
      </c>
      <c r="C15">
        <v>0</v>
      </c>
      <c r="D15">
        <v>0</v>
      </c>
      <c r="E15">
        <v>0.01</v>
      </c>
      <c r="F15">
        <v>0.6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150</v>
      </c>
      <c r="B16">
        <v>0.6</v>
      </c>
      <c r="C16">
        <v>0</v>
      </c>
      <c r="D16">
        <v>0.2</v>
      </c>
      <c r="E16">
        <v>0.2</v>
      </c>
      <c r="F16">
        <v>0.4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151</v>
      </c>
      <c r="B17">
        <v>0.8</v>
      </c>
      <c r="C17">
        <v>0</v>
      </c>
      <c r="D17">
        <v>0.2</v>
      </c>
      <c r="E17">
        <v>0.6</v>
      </c>
      <c r="F17">
        <v>2.1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152</v>
      </c>
      <c r="B18">
        <v>0.6</v>
      </c>
      <c r="C18">
        <v>0</v>
      </c>
      <c r="D18">
        <v>0.2</v>
      </c>
      <c r="E18">
        <v>0.2</v>
      </c>
      <c r="F18">
        <v>0.6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153</v>
      </c>
      <c r="B19">
        <v>0.7</v>
      </c>
      <c r="C19">
        <v>0</v>
      </c>
      <c r="D19">
        <v>0.5</v>
      </c>
      <c r="E19">
        <v>0.4</v>
      </c>
      <c r="F19">
        <v>0.6</v>
      </c>
      <c r="G19">
        <v>0</v>
      </c>
      <c r="H19">
        <v>0</v>
      </c>
      <c r="I19">
        <v>0.1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154</v>
      </c>
      <c r="B20">
        <v>0.3</v>
      </c>
      <c r="C20">
        <v>0.1</v>
      </c>
      <c r="D20">
        <v>0</v>
      </c>
      <c r="E20">
        <v>0</v>
      </c>
      <c r="F20">
        <v>0.35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155</v>
      </c>
      <c r="B21">
        <v>0.4</v>
      </c>
      <c r="C21">
        <v>0</v>
      </c>
      <c r="D21">
        <v>0.15</v>
      </c>
      <c r="E21">
        <v>0</v>
      </c>
      <c r="F21">
        <v>0.8</v>
      </c>
      <c r="G21">
        <v>0.04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156</v>
      </c>
      <c r="B22">
        <v>0.4</v>
      </c>
      <c r="C22">
        <v>0</v>
      </c>
      <c r="D22">
        <v>0.15</v>
      </c>
      <c r="E22">
        <v>0</v>
      </c>
      <c r="F22">
        <v>0.8</v>
      </c>
      <c r="G22">
        <v>0.04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157</v>
      </c>
      <c r="B23">
        <v>0.2</v>
      </c>
      <c r="C23">
        <v>0</v>
      </c>
      <c r="D23">
        <v>0</v>
      </c>
      <c r="E23">
        <v>0</v>
      </c>
      <c r="F23">
        <v>0.45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158</v>
      </c>
      <c r="B24">
        <v>0.3</v>
      </c>
      <c r="C24">
        <v>0.15</v>
      </c>
      <c r="D24">
        <v>0</v>
      </c>
      <c r="E24">
        <v>0</v>
      </c>
      <c r="F24">
        <v>0.6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159</v>
      </c>
      <c r="B25">
        <v>0.4</v>
      </c>
      <c r="C25">
        <v>0</v>
      </c>
      <c r="D25">
        <v>0.15</v>
      </c>
      <c r="E25">
        <v>0</v>
      </c>
      <c r="F25">
        <v>0.8</v>
      </c>
      <c r="G25">
        <v>0.04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160</v>
      </c>
      <c r="B26">
        <v>0.4</v>
      </c>
      <c r="C26">
        <v>0</v>
      </c>
      <c r="D26">
        <v>0.15</v>
      </c>
      <c r="E26">
        <v>0</v>
      </c>
      <c r="F26">
        <v>0.8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161</v>
      </c>
      <c r="B27">
        <v>0.7</v>
      </c>
      <c r="C27">
        <v>0</v>
      </c>
      <c r="D27">
        <v>0</v>
      </c>
      <c r="E27">
        <v>0.1</v>
      </c>
      <c r="F27">
        <v>0.6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162</v>
      </c>
      <c r="B28">
        <v>0.7</v>
      </c>
      <c r="C28">
        <v>0</v>
      </c>
      <c r="D28">
        <v>0</v>
      </c>
      <c r="E28">
        <v>0.4</v>
      </c>
      <c r="F28">
        <v>0.6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163</v>
      </c>
      <c r="B29">
        <v>0.7</v>
      </c>
      <c r="C29">
        <v>0</v>
      </c>
      <c r="D29">
        <v>0</v>
      </c>
      <c r="E29">
        <v>0.4</v>
      </c>
      <c r="F29">
        <v>0.6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164</v>
      </c>
      <c r="B30">
        <v>0.3</v>
      </c>
      <c r="C30">
        <v>0</v>
      </c>
      <c r="D30">
        <v>0</v>
      </c>
      <c r="E30">
        <v>0</v>
      </c>
      <c r="F30">
        <v>0.35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165</v>
      </c>
      <c r="B31">
        <v>0.3</v>
      </c>
      <c r="C31">
        <v>0</v>
      </c>
      <c r="D31">
        <v>0</v>
      </c>
      <c r="E31">
        <v>0</v>
      </c>
      <c r="F31">
        <v>0.4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166</v>
      </c>
      <c r="B32">
        <v>0.3</v>
      </c>
      <c r="C32">
        <v>0.1</v>
      </c>
      <c r="D32">
        <v>0</v>
      </c>
      <c r="E32">
        <v>0</v>
      </c>
      <c r="F32">
        <v>0.35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167</v>
      </c>
      <c r="B33">
        <v>0.3</v>
      </c>
      <c r="C33">
        <v>0</v>
      </c>
      <c r="D33">
        <v>0</v>
      </c>
      <c r="E33">
        <v>0.05</v>
      </c>
      <c r="F33">
        <v>0.4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168</v>
      </c>
      <c r="B34">
        <v>0.7</v>
      </c>
      <c r="C34">
        <v>0</v>
      </c>
      <c r="D34">
        <v>0.3</v>
      </c>
      <c r="E34">
        <v>0.3</v>
      </c>
      <c r="F34">
        <v>0.7</v>
      </c>
      <c r="G34">
        <v>0.05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397</v>
      </c>
      <c r="B35">
        <v>0.7</v>
      </c>
      <c r="C35">
        <v>0</v>
      </c>
      <c r="D35">
        <v>0.5</v>
      </c>
      <c r="E35">
        <v>0</v>
      </c>
      <c r="F35">
        <v>0.6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169</v>
      </c>
      <c r="B36">
        <v>0.8</v>
      </c>
      <c r="C36">
        <v>0</v>
      </c>
      <c r="D36">
        <v>0</v>
      </c>
      <c r="E36">
        <v>0</v>
      </c>
      <c r="F36">
        <v>0.6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170</v>
      </c>
      <c r="B37">
        <v>0.9</v>
      </c>
      <c r="C37">
        <v>0</v>
      </c>
      <c r="D37">
        <v>0</v>
      </c>
      <c r="E37">
        <v>0.5</v>
      </c>
      <c r="F37">
        <v>0.7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171</v>
      </c>
      <c r="B38">
        <v>0.5</v>
      </c>
      <c r="C38">
        <v>0</v>
      </c>
      <c r="D38">
        <v>0</v>
      </c>
      <c r="E38">
        <v>0</v>
      </c>
      <c r="F38">
        <v>0.6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172</v>
      </c>
      <c r="B39">
        <v>0.4</v>
      </c>
      <c r="C39">
        <v>0</v>
      </c>
      <c r="D39">
        <v>0.15</v>
      </c>
      <c r="E39">
        <v>0.2</v>
      </c>
      <c r="F39">
        <v>0.7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173</v>
      </c>
      <c r="B40">
        <v>0.4</v>
      </c>
      <c r="C40">
        <v>0</v>
      </c>
      <c r="D40">
        <v>0.15</v>
      </c>
      <c r="E40">
        <v>0</v>
      </c>
      <c r="F40">
        <v>0.8</v>
      </c>
      <c r="G40">
        <v>0.04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174</v>
      </c>
      <c r="B41">
        <v>0.4</v>
      </c>
      <c r="C41">
        <v>0</v>
      </c>
      <c r="D41">
        <v>0.15</v>
      </c>
      <c r="E41">
        <v>0</v>
      </c>
      <c r="F41">
        <v>0.8</v>
      </c>
      <c r="G41">
        <v>0.04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175</v>
      </c>
      <c r="B42">
        <v>0.7</v>
      </c>
      <c r="C42">
        <v>0</v>
      </c>
      <c r="D42">
        <v>0</v>
      </c>
      <c r="E42">
        <v>0.4</v>
      </c>
      <c r="F42">
        <v>0.4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176</v>
      </c>
      <c r="B43">
        <v>0.7</v>
      </c>
      <c r="C43">
        <v>0</v>
      </c>
      <c r="D43">
        <v>0</v>
      </c>
      <c r="E43">
        <v>0.4</v>
      </c>
      <c r="F43">
        <v>0.4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177</v>
      </c>
      <c r="B44">
        <v>0.35</v>
      </c>
      <c r="C44">
        <v>0.1</v>
      </c>
      <c r="D44">
        <v>0</v>
      </c>
      <c r="E44">
        <v>0.02</v>
      </c>
      <c r="F44">
        <v>0.25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178</v>
      </c>
      <c r="B45">
        <v>0.35</v>
      </c>
      <c r="C45">
        <v>0</v>
      </c>
      <c r="D45">
        <v>0.05</v>
      </c>
      <c r="E45">
        <v>0</v>
      </c>
      <c r="F45">
        <v>0.35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179</v>
      </c>
      <c r="B46">
        <v>0.2</v>
      </c>
      <c r="C46">
        <v>0</v>
      </c>
      <c r="D46">
        <v>0</v>
      </c>
      <c r="E46">
        <v>0</v>
      </c>
      <c r="F46">
        <v>0.45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180</v>
      </c>
      <c r="B47">
        <v>0.2</v>
      </c>
      <c r="C47">
        <v>0</v>
      </c>
      <c r="D47">
        <v>0.15</v>
      </c>
      <c r="E47">
        <v>0</v>
      </c>
      <c r="F47">
        <v>0.4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1887-7784-C34C-871E-F5370F61EDB4}">
  <dimension ref="A1:N47"/>
  <sheetViews>
    <sheetView tabSelected="1" workbookViewId="0">
      <selection activeCell="N36" sqref="N36"/>
    </sheetView>
  </sheetViews>
  <sheetFormatPr baseColWidth="10" defaultRowHeight="16" x14ac:dyDescent="0.2"/>
  <cols>
    <col min="1" max="1" width="1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137</v>
      </c>
      <c r="B2">
        <v>1</v>
      </c>
      <c r="C2">
        <v>0.6</v>
      </c>
      <c r="D2">
        <v>0.1</v>
      </c>
      <c r="E2">
        <v>0.8</v>
      </c>
      <c r="F2">
        <v>1.5</v>
      </c>
      <c r="G2">
        <v>0.35</v>
      </c>
      <c r="H2">
        <v>0</v>
      </c>
      <c r="I2">
        <v>0.2</v>
      </c>
      <c r="J2">
        <v>0.1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138</v>
      </c>
      <c r="B3">
        <v>0.9</v>
      </c>
      <c r="C3">
        <v>0.35</v>
      </c>
      <c r="D3">
        <v>0.1</v>
      </c>
      <c r="E3">
        <v>0.1</v>
      </c>
      <c r="F3">
        <v>0.6</v>
      </c>
      <c r="G3">
        <v>0.1</v>
      </c>
      <c r="H3">
        <v>0</v>
      </c>
      <c r="I3">
        <v>0.1</v>
      </c>
      <c r="J3">
        <v>0.1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139</v>
      </c>
      <c r="B4">
        <v>0.9</v>
      </c>
      <c r="C4">
        <v>0.35</v>
      </c>
      <c r="D4">
        <v>0.3</v>
      </c>
      <c r="E4">
        <v>0.5</v>
      </c>
      <c r="F4">
        <v>0.7</v>
      </c>
      <c r="G4">
        <v>0.3</v>
      </c>
      <c r="H4">
        <v>0</v>
      </c>
      <c r="I4">
        <v>0.2</v>
      </c>
      <c r="J4">
        <v>0.1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140</v>
      </c>
      <c r="B5">
        <v>0.8</v>
      </c>
      <c r="C5">
        <v>0.3</v>
      </c>
      <c r="D5">
        <v>0.1</v>
      </c>
      <c r="E5">
        <v>0.1</v>
      </c>
      <c r="F5">
        <v>0.8</v>
      </c>
      <c r="G5">
        <v>0.1</v>
      </c>
      <c r="H5">
        <v>0</v>
      </c>
      <c r="I5">
        <v>0.1</v>
      </c>
      <c r="J5">
        <v>0.1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141</v>
      </c>
      <c r="B6">
        <v>0.9</v>
      </c>
      <c r="C6">
        <v>0.35</v>
      </c>
      <c r="D6">
        <v>0.3</v>
      </c>
      <c r="E6">
        <v>0.3</v>
      </c>
      <c r="F6">
        <v>0.7</v>
      </c>
      <c r="G6">
        <v>0.3</v>
      </c>
      <c r="H6">
        <v>0</v>
      </c>
      <c r="I6">
        <v>0.2</v>
      </c>
      <c r="J6">
        <v>0.1</v>
      </c>
      <c r="K6">
        <v>0</v>
      </c>
      <c r="L6">
        <v>0.2</v>
      </c>
      <c r="M6">
        <v>0.05</v>
      </c>
      <c r="N6">
        <v>0.15</v>
      </c>
    </row>
    <row r="7" spans="1:14" x14ac:dyDescent="0.2">
      <c r="A7" t="s">
        <v>142</v>
      </c>
      <c r="B7">
        <v>1.2</v>
      </c>
      <c r="C7">
        <v>1</v>
      </c>
      <c r="D7">
        <v>0.9</v>
      </c>
      <c r="E7">
        <v>0.8</v>
      </c>
      <c r="F7">
        <v>1.2</v>
      </c>
      <c r="G7">
        <v>0.3</v>
      </c>
      <c r="H7">
        <v>0.2</v>
      </c>
      <c r="I7">
        <v>1.5</v>
      </c>
      <c r="J7">
        <v>0.2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143</v>
      </c>
      <c r="B8">
        <v>1.4</v>
      </c>
      <c r="C8">
        <v>0.5</v>
      </c>
      <c r="D8">
        <v>0.1</v>
      </c>
      <c r="E8">
        <v>1</v>
      </c>
      <c r="F8">
        <v>1.2</v>
      </c>
      <c r="G8">
        <v>0.3</v>
      </c>
      <c r="H8">
        <v>0</v>
      </c>
      <c r="I8">
        <v>0.3</v>
      </c>
      <c r="J8">
        <v>0.2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144</v>
      </c>
      <c r="B9">
        <v>1.4</v>
      </c>
      <c r="C9">
        <v>0.5</v>
      </c>
      <c r="D9">
        <v>0.4</v>
      </c>
      <c r="E9">
        <v>1</v>
      </c>
      <c r="F9">
        <v>1.2</v>
      </c>
      <c r="G9">
        <v>0.3</v>
      </c>
      <c r="H9">
        <v>0</v>
      </c>
      <c r="I9">
        <v>0.3</v>
      </c>
      <c r="J9">
        <v>0.2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145</v>
      </c>
      <c r="B10">
        <v>1</v>
      </c>
      <c r="C10">
        <v>0.5</v>
      </c>
      <c r="D10">
        <v>1.1000000000000001</v>
      </c>
      <c r="E10">
        <v>0.8</v>
      </c>
      <c r="F10">
        <v>1.2</v>
      </c>
      <c r="G10">
        <v>0.1</v>
      </c>
      <c r="H10">
        <v>0</v>
      </c>
      <c r="I10">
        <v>0.25</v>
      </c>
      <c r="J10">
        <v>0.1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146</v>
      </c>
      <c r="B11">
        <v>0.6</v>
      </c>
      <c r="C11">
        <v>0.35</v>
      </c>
      <c r="D11">
        <v>0.25</v>
      </c>
      <c r="E11">
        <v>0.2</v>
      </c>
      <c r="F11">
        <v>0.8</v>
      </c>
      <c r="G11">
        <v>0.2</v>
      </c>
      <c r="H11">
        <v>0</v>
      </c>
      <c r="I11">
        <v>0.1</v>
      </c>
      <c r="J11">
        <v>0.1</v>
      </c>
      <c r="K11">
        <v>0</v>
      </c>
      <c r="L11">
        <v>0.2</v>
      </c>
      <c r="M11">
        <v>0.05</v>
      </c>
      <c r="N11">
        <v>0.15</v>
      </c>
    </row>
    <row r="12" spans="1:14" x14ac:dyDescent="0.2">
      <c r="A12" t="s">
        <v>147</v>
      </c>
      <c r="B12">
        <v>0.4</v>
      </c>
      <c r="C12">
        <v>0.3</v>
      </c>
      <c r="D12">
        <v>0.25</v>
      </c>
      <c r="E12">
        <v>0.1</v>
      </c>
      <c r="F12">
        <v>1.1000000000000001</v>
      </c>
      <c r="G12">
        <v>0.1</v>
      </c>
      <c r="H12">
        <v>0</v>
      </c>
      <c r="I12">
        <v>0.1</v>
      </c>
      <c r="J12">
        <v>0.1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148</v>
      </c>
      <c r="B13">
        <v>1.5</v>
      </c>
      <c r="C13">
        <v>0.5</v>
      </c>
      <c r="D13">
        <v>0.2</v>
      </c>
      <c r="E13">
        <v>0.2</v>
      </c>
      <c r="F13">
        <v>0.6</v>
      </c>
      <c r="G13">
        <v>0.1</v>
      </c>
      <c r="H13">
        <v>0</v>
      </c>
      <c r="I13">
        <v>0.2</v>
      </c>
      <c r="J13">
        <v>0.15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149</v>
      </c>
      <c r="B14">
        <v>1.2</v>
      </c>
      <c r="C14">
        <v>0.7</v>
      </c>
      <c r="D14">
        <v>0.4</v>
      </c>
      <c r="E14">
        <v>0.8</v>
      </c>
      <c r="F14">
        <v>1.2</v>
      </c>
      <c r="G14">
        <v>0.1</v>
      </c>
      <c r="H14">
        <v>0</v>
      </c>
      <c r="I14">
        <v>0.3</v>
      </c>
      <c r="J14">
        <v>0.2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396</v>
      </c>
      <c r="B15">
        <v>1.5</v>
      </c>
      <c r="C15">
        <v>0.2</v>
      </c>
      <c r="D15">
        <v>0.2</v>
      </c>
      <c r="E15">
        <v>0.2</v>
      </c>
      <c r="F15">
        <v>1</v>
      </c>
      <c r="G15">
        <v>0.03</v>
      </c>
      <c r="H15">
        <v>0</v>
      </c>
      <c r="I15">
        <v>0.1</v>
      </c>
      <c r="J15">
        <v>0.1</v>
      </c>
      <c r="K15">
        <v>0</v>
      </c>
      <c r="L15">
        <v>0</v>
      </c>
      <c r="M15">
        <v>0.05</v>
      </c>
      <c r="N15">
        <v>0.15</v>
      </c>
    </row>
    <row r="16" spans="1:14" x14ac:dyDescent="0.2">
      <c r="A16" t="s">
        <v>150</v>
      </c>
      <c r="B16">
        <v>1.4</v>
      </c>
      <c r="C16">
        <v>0.5</v>
      </c>
      <c r="D16">
        <v>0.5</v>
      </c>
      <c r="E16">
        <v>0.6</v>
      </c>
      <c r="F16">
        <v>0.9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0.05</v>
      </c>
      <c r="N16">
        <v>0.15</v>
      </c>
    </row>
    <row r="17" spans="1:14" x14ac:dyDescent="0.2">
      <c r="A17" t="s">
        <v>151</v>
      </c>
      <c r="B17">
        <v>1.5</v>
      </c>
      <c r="C17">
        <v>0.7</v>
      </c>
      <c r="D17">
        <v>0.7</v>
      </c>
      <c r="E17">
        <v>1.4</v>
      </c>
      <c r="F17">
        <v>3</v>
      </c>
      <c r="G17">
        <v>0.2</v>
      </c>
      <c r="H17">
        <v>0</v>
      </c>
      <c r="I17">
        <v>0.5</v>
      </c>
      <c r="J17">
        <v>0.2</v>
      </c>
      <c r="K17">
        <v>0</v>
      </c>
      <c r="L17">
        <v>0</v>
      </c>
      <c r="M17">
        <v>0.05</v>
      </c>
      <c r="N17">
        <v>0.15</v>
      </c>
    </row>
    <row r="18" spans="1:14" x14ac:dyDescent="0.2">
      <c r="A18" t="s">
        <v>152</v>
      </c>
      <c r="B18">
        <v>1.4</v>
      </c>
      <c r="C18">
        <v>0.7</v>
      </c>
      <c r="D18">
        <v>0.5</v>
      </c>
      <c r="E18">
        <v>1</v>
      </c>
      <c r="F18">
        <v>1.2</v>
      </c>
      <c r="G18">
        <v>0.3</v>
      </c>
      <c r="H18">
        <v>0</v>
      </c>
      <c r="I18">
        <v>0.3</v>
      </c>
      <c r="J18">
        <v>0.2</v>
      </c>
      <c r="K18">
        <v>0</v>
      </c>
      <c r="L18">
        <v>0</v>
      </c>
      <c r="M18">
        <v>0.05</v>
      </c>
      <c r="N18">
        <v>0.15</v>
      </c>
    </row>
    <row r="19" spans="1:14" x14ac:dyDescent="0.2">
      <c r="A19" t="s">
        <v>153</v>
      </c>
      <c r="B19">
        <v>1.3</v>
      </c>
      <c r="C19">
        <v>0.5</v>
      </c>
      <c r="D19">
        <v>1.1000000000000001</v>
      </c>
      <c r="E19">
        <v>1</v>
      </c>
      <c r="F19">
        <v>1.2</v>
      </c>
      <c r="G19">
        <v>0.25</v>
      </c>
      <c r="H19">
        <v>0</v>
      </c>
      <c r="I19">
        <v>0.7</v>
      </c>
      <c r="J19">
        <v>0</v>
      </c>
      <c r="K19">
        <v>0</v>
      </c>
      <c r="L19">
        <v>0</v>
      </c>
      <c r="M19">
        <v>0.05</v>
      </c>
      <c r="N19">
        <v>0.15</v>
      </c>
    </row>
    <row r="20" spans="1:14" x14ac:dyDescent="0.2">
      <c r="A20" t="s">
        <v>154</v>
      </c>
      <c r="B20">
        <v>0.6</v>
      </c>
      <c r="C20">
        <v>0.3</v>
      </c>
      <c r="D20">
        <v>0.1</v>
      </c>
      <c r="E20">
        <v>0.1</v>
      </c>
      <c r="F20">
        <v>0.6</v>
      </c>
      <c r="G20">
        <v>0.05</v>
      </c>
      <c r="H20">
        <v>0</v>
      </c>
      <c r="I20">
        <v>0.15</v>
      </c>
      <c r="J20">
        <v>0.1</v>
      </c>
      <c r="K20">
        <v>0</v>
      </c>
      <c r="L20">
        <v>0</v>
      </c>
      <c r="M20">
        <v>0.05</v>
      </c>
      <c r="N20">
        <v>0.15</v>
      </c>
    </row>
    <row r="21" spans="1:14" x14ac:dyDescent="0.2">
      <c r="A21" t="s">
        <v>155</v>
      </c>
      <c r="B21">
        <v>0.8</v>
      </c>
      <c r="C21">
        <v>0.7</v>
      </c>
      <c r="D21">
        <v>0.4</v>
      </c>
      <c r="E21">
        <v>0.15</v>
      </c>
      <c r="F21">
        <v>1.2</v>
      </c>
      <c r="G21">
        <v>0.35</v>
      </c>
      <c r="H21">
        <v>0</v>
      </c>
      <c r="I21">
        <v>0.25</v>
      </c>
      <c r="J21">
        <v>0.15</v>
      </c>
      <c r="K21">
        <v>0</v>
      </c>
      <c r="L21">
        <v>0</v>
      </c>
      <c r="M21">
        <v>0.05</v>
      </c>
      <c r="N21">
        <v>0.15</v>
      </c>
    </row>
    <row r="22" spans="1:14" x14ac:dyDescent="0.2">
      <c r="A22" t="s">
        <v>156</v>
      </c>
      <c r="B22">
        <v>0.8</v>
      </c>
      <c r="C22">
        <v>0.7</v>
      </c>
      <c r="D22">
        <v>0.4</v>
      </c>
      <c r="E22">
        <v>0.15</v>
      </c>
      <c r="F22">
        <v>1.2</v>
      </c>
      <c r="G22">
        <v>0.35</v>
      </c>
      <c r="H22">
        <v>0</v>
      </c>
      <c r="I22">
        <v>0.25</v>
      </c>
      <c r="J22">
        <v>0.15</v>
      </c>
      <c r="K22">
        <v>0</v>
      </c>
      <c r="L22">
        <v>0</v>
      </c>
      <c r="M22">
        <v>0.05</v>
      </c>
      <c r="N22">
        <v>0.15</v>
      </c>
    </row>
    <row r="23" spans="1:14" x14ac:dyDescent="0.2">
      <c r="A23" t="s">
        <v>157</v>
      </c>
      <c r="B23">
        <v>0.6</v>
      </c>
      <c r="C23">
        <v>0.35</v>
      </c>
      <c r="D23">
        <v>0.1</v>
      </c>
      <c r="E23">
        <v>0.1</v>
      </c>
      <c r="F23">
        <v>0.9</v>
      </c>
      <c r="G23">
        <v>0.1</v>
      </c>
      <c r="H23">
        <v>0</v>
      </c>
      <c r="I23">
        <v>0.1</v>
      </c>
      <c r="J23">
        <v>0.1</v>
      </c>
      <c r="K23">
        <v>0</v>
      </c>
      <c r="L23">
        <v>0</v>
      </c>
      <c r="M23">
        <v>0.05</v>
      </c>
      <c r="N23">
        <v>0.15</v>
      </c>
    </row>
    <row r="24" spans="1:14" x14ac:dyDescent="0.2">
      <c r="A24" t="s">
        <v>158</v>
      </c>
      <c r="B24">
        <v>0.6</v>
      </c>
      <c r="C24">
        <v>0.35</v>
      </c>
      <c r="D24">
        <v>0.1</v>
      </c>
      <c r="E24">
        <v>0.15</v>
      </c>
      <c r="F24">
        <v>0.9</v>
      </c>
      <c r="G24">
        <v>0.05</v>
      </c>
      <c r="H24">
        <v>0</v>
      </c>
      <c r="I24">
        <v>0.15</v>
      </c>
      <c r="J24">
        <v>0.1</v>
      </c>
      <c r="K24">
        <v>0</v>
      </c>
      <c r="L24">
        <v>0</v>
      </c>
      <c r="M24">
        <v>0.05</v>
      </c>
      <c r="N24">
        <v>0.15</v>
      </c>
    </row>
    <row r="25" spans="1:14" x14ac:dyDescent="0.2">
      <c r="A25" t="s">
        <v>159</v>
      </c>
      <c r="B25">
        <v>0.8</v>
      </c>
      <c r="C25">
        <v>0.7</v>
      </c>
      <c r="D25">
        <v>0.4</v>
      </c>
      <c r="E25">
        <v>0.15</v>
      </c>
      <c r="F25">
        <v>1.2</v>
      </c>
      <c r="G25">
        <v>0.14000000000000001</v>
      </c>
      <c r="H25">
        <v>0</v>
      </c>
      <c r="I25">
        <v>0.25</v>
      </c>
      <c r="J25">
        <v>0.15</v>
      </c>
      <c r="K25">
        <v>0</v>
      </c>
      <c r="L25">
        <v>0</v>
      </c>
      <c r="M25">
        <v>0.05</v>
      </c>
      <c r="N25">
        <v>0.15</v>
      </c>
    </row>
    <row r="26" spans="1:14" x14ac:dyDescent="0.2">
      <c r="A26" t="s">
        <v>160</v>
      </c>
      <c r="B26">
        <v>0.8</v>
      </c>
      <c r="C26">
        <v>0.7</v>
      </c>
      <c r="D26">
        <v>0.4</v>
      </c>
      <c r="E26">
        <v>0.15</v>
      </c>
      <c r="F26">
        <v>1.2</v>
      </c>
      <c r="G26">
        <v>0.15</v>
      </c>
      <c r="H26">
        <v>0</v>
      </c>
      <c r="I26">
        <v>0.25</v>
      </c>
      <c r="J26">
        <v>0.1</v>
      </c>
      <c r="K26">
        <v>0</v>
      </c>
      <c r="L26">
        <v>0</v>
      </c>
      <c r="M26">
        <v>0.05</v>
      </c>
      <c r="N26">
        <v>0.15</v>
      </c>
    </row>
    <row r="27" spans="1:14" x14ac:dyDescent="0.2">
      <c r="A27" t="s">
        <v>161</v>
      </c>
      <c r="B27">
        <v>1.1000000000000001</v>
      </c>
      <c r="C27">
        <v>0.5</v>
      </c>
      <c r="D27">
        <v>0.1</v>
      </c>
      <c r="E27">
        <v>0.45</v>
      </c>
      <c r="F27">
        <v>1</v>
      </c>
      <c r="G27">
        <v>0.1</v>
      </c>
      <c r="H27">
        <v>0</v>
      </c>
      <c r="I27">
        <v>0.2</v>
      </c>
      <c r="J27">
        <v>0.15</v>
      </c>
      <c r="K27">
        <v>0</v>
      </c>
      <c r="L27">
        <v>0</v>
      </c>
      <c r="M27">
        <v>0.05</v>
      </c>
      <c r="N27">
        <v>0.15</v>
      </c>
    </row>
    <row r="28" spans="1:14" x14ac:dyDescent="0.2">
      <c r="A28" t="s">
        <v>162</v>
      </c>
      <c r="B28">
        <v>1.3</v>
      </c>
      <c r="C28">
        <v>0.5</v>
      </c>
      <c r="D28">
        <v>0.1</v>
      </c>
      <c r="E28">
        <v>1</v>
      </c>
      <c r="F28">
        <v>1.2</v>
      </c>
      <c r="G28">
        <v>0.25</v>
      </c>
      <c r="H28">
        <v>0</v>
      </c>
      <c r="I28">
        <v>0.2</v>
      </c>
      <c r="J28">
        <v>0.1</v>
      </c>
      <c r="K28">
        <v>0</v>
      </c>
      <c r="L28">
        <v>0</v>
      </c>
      <c r="M28">
        <v>0.05</v>
      </c>
      <c r="N28">
        <v>0.15</v>
      </c>
    </row>
    <row r="29" spans="1:14" x14ac:dyDescent="0.2">
      <c r="A29" t="s">
        <v>163</v>
      </c>
      <c r="B29">
        <v>1.3</v>
      </c>
      <c r="C29">
        <v>0.5</v>
      </c>
      <c r="D29">
        <v>0.1</v>
      </c>
      <c r="E29">
        <v>1</v>
      </c>
      <c r="F29">
        <v>1.2</v>
      </c>
      <c r="G29">
        <v>0.25</v>
      </c>
      <c r="H29">
        <v>0</v>
      </c>
      <c r="I29">
        <v>0.2</v>
      </c>
      <c r="J29">
        <v>0.1</v>
      </c>
      <c r="K29">
        <v>0</v>
      </c>
      <c r="L29">
        <v>0</v>
      </c>
      <c r="M29">
        <v>0.05</v>
      </c>
      <c r="N29">
        <v>0.15</v>
      </c>
    </row>
    <row r="30" spans="1:14" x14ac:dyDescent="0.2">
      <c r="A30" t="s">
        <v>164</v>
      </c>
      <c r="B30">
        <v>0.7</v>
      </c>
      <c r="C30">
        <v>0.5</v>
      </c>
      <c r="D30">
        <v>0.1</v>
      </c>
      <c r="E30">
        <v>0.03</v>
      </c>
      <c r="F30">
        <v>0.8</v>
      </c>
      <c r="G30">
        <v>0.03</v>
      </c>
      <c r="H30">
        <v>0</v>
      </c>
      <c r="I30">
        <v>0.1</v>
      </c>
      <c r="J30">
        <v>0</v>
      </c>
      <c r="K30">
        <v>0</v>
      </c>
      <c r="L30">
        <v>0</v>
      </c>
      <c r="M30">
        <v>0.03</v>
      </c>
      <c r="N30">
        <v>0.1</v>
      </c>
    </row>
    <row r="31" spans="1:14" x14ac:dyDescent="0.2">
      <c r="A31" t="s">
        <v>165</v>
      </c>
      <c r="B31">
        <v>0.7</v>
      </c>
      <c r="C31">
        <v>0.4</v>
      </c>
      <c r="D31">
        <v>0.05</v>
      </c>
      <c r="E31">
        <v>0</v>
      </c>
      <c r="F31">
        <v>0.9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0.03</v>
      </c>
      <c r="N31">
        <v>0.1</v>
      </c>
    </row>
    <row r="32" spans="1:14" x14ac:dyDescent="0.2">
      <c r="A32" t="s">
        <v>166</v>
      </c>
      <c r="B32">
        <v>0.6</v>
      </c>
      <c r="C32">
        <v>0.3</v>
      </c>
      <c r="D32">
        <v>0.05</v>
      </c>
      <c r="E32">
        <v>0.05</v>
      </c>
      <c r="F32">
        <v>0.6</v>
      </c>
      <c r="G32">
        <v>0</v>
      </c>
      <c r="H32">
        <v>0</v>
      </c>
      <c r="I32">
        <v>0.1</v>
      </c>
      <c r="J32">
        <v>0</v>
      </c>
      <c r="K32">
        <v>0</v>
      </c>
      <c r="L32">
        <v>0</v>
      </c>
      <c r="M32">
        <v>0.03</v>
      </c>
      <c r="N32">
        <v>0.1</v>
      </c>
    </row>
    <row r="33" spans="1:14" x14ac:dyDescent="0.2">
      <c r="A33" t="s">
        <v>167</v>
      </c>
      <c r="B33">
        <v>0.6</v>
      </c>
      <c r="C33">
        <v>0.35</v>
      </c>
      <c r="D33">
        <v>0.25</v>
      </c>
      <c r="E33">
        <v>0.2</v>
      </c>
      <c r="F33">
        <v>0.8</v>
      </c>
      <c r="G33">
        <v>0.2</v>
      </c>
      <c r="H33">
        <v>0</v>
      </c>
      <c r="I33">
        <v>0.1</v>
      </c>
      <c r="J33">
        <v>0</v>
      </c>
      <c r="K33">
        <v>0</v>
      </c>
      <c r="L33">
        <v>0</v>
      </c>
      <c r="M33">
        <v>0.05</v>
      </c>
      <c r="N33">
        <v>0.1</v>
      </c>
    </row>
    <row r="34" spans="1:14" x14ac:dyDescent="0.2">
      <c r="A34" t="s">
        <v>168</v>
      </c>
      <c r="B34">
        <v>1.1000000000000001</v>
      </c>
      <c r="C34">
        <v>0.5</v>
      </c>
      <c r="D34">
        <v>0.8</v>
      </c>
      <c r="E34">
        <v>0.9</v>
      </c>
      <c r="F34">
        <v>1.1000000000000001</v>
      </c>
      <c r="G34">
        <v>0.25</v>
      </c>
      <c r="H34">
        <v>0</v>
      </c>
      <c r="I34">
        <v>0.2</v>
      </c>
      <c r="J34">
        <v>0</v>
      </c>
      <c r="K34">
        <v>0</v>
      </c>
      <c r="L34">
        <v>0</v>
      </c>
      <c r="M34">
        <v>0.05</v>
      </c>
      <c r="N34">
        <v>0.15</v>
      </c>
    </row>
    <row r="35" spans="1:14" x14ac:dyDescent="0.2">
      <c r="A35" t="s">
        <v>397</v>
      </c>
      <c r="B35">
        <v>1.1000000000000001</v>
      </c>
      <c r="C35">
        <v>0.4</v>
      </c>
      <c r="D35">
        <v>0.9</v>
      </c>
      <c r="E35">
        <v>0.15</v>
      </c>
      <c r="F35">
        <v>1</v>
      </c>
      <c r="G35">
        <v>0.1</v>
      </c>
      <c r="H35">
        <v>0</v>
      </c>
      <c r="I35">
        <v>0.15</v>
      </c>
      <c r="J35">
        <v>0.1</v>
      </c>
      <c r="K35">
        <v>0</v>
      </c>
      <c r="L35">
        <v>0</v>
      </c>
      <c r="M35">
        <v>0.05</v>
      </c>
      <c r="N35">
        <v>0.15</v>
      </c>
    </row>
    <row r="36" spans="1:14" x14ac:dyDescent="0.2">
      <c r="A36" t="s">
        <v>169</v>
      </c>
      <c r="B36">
        <v>1.2</v>
      </c>
      <c r="C36">
        <v>0.45</v>
      </c>
      <c r="D36">
        <v>0.1</v>
      </c>
      <c r="E36">
        <v>0.15</v>
      </c>
      <c r="F36">
        <v>1</v>
      </c>
      <c r="G36">
        <v>0.1</v>
      </c>
      <c r="H36">
        <v>0</v>
      </c>
      <c r="I36">
        <v>0.2</v>
      </c>
      <c r="J36">
        <v>0.1</v>
      </c>
      <c r="K36">
        <v>0</v>
      </c>
      <c r="L36">
        <v>0</v>
      </c>
      <c r="M36">
        <v>0.05</v>
      </c>
      <c r="N36">
        <v>0.15</v>
      </c>
    </row>
    <row r="37" spans="1:14" x14ac:dyDescent="0.2">
      <c r="A37" t="s">
        <v>170</v>
      </c>
      <c r="B37">
        <v>1.3</v>
      </c>
      <c r="C37">
        <v>0.5</v>
      </c>
      <c r="D37">
        <v>0.1</v>
      </c>
      <c r="E37">
        <v>1</v>
      </c>
      <c r="F37">
        <v>1.2</v>
      </c>
      <c r="G37">
        <v>0.25</v>
      </c>
      <c r="H37">
        <v>0</v>
      </c>
      <c r="I37">
        <v>0.2</v>
      </c>
      <c r="J37">
        <v>0.1</v>
      </c>
      <c r="K37">
        <v>0</v>
      </c>
      <c r="L37">
        <v>0</v>
      </c>
      <c r="M37">
        <v>0.05</v>
      </c>
      <c r="N37">
        <v>0.15</v>
      </c>
    </row>
    <row r="38" spans="1:14" x14ac:dyDescent="0.2">
      <c r="A38" t="s">
        <v>171</v>
      </c>
      <c r="B38">
        <v>0.9</v>
      </c>
      <c r="C38">
        <v>0.5</v>
      </c>
      <c r="D38">
        <v>0.1</v>
      </c>
      <c r="E38">
        <v>0.03</v>
      </c>
      <c r="F38">
        <v>0.9</v>
      </c>
      <c r="G38">
        <v>0.03</v>
      </c>
      <c r="H38">
        <v>0</v>
      </c>
      <c r="I38">
        <v>0.1</v>
      </c>
      <c r="J38">
        <v>0</v>
      </c>
      <c r="K38">
        <v>0</v>
      </c>
      <c r="L38">
        <v>0</v>
      </c>
      <c r="M38">
        <v>0.03</v>
      </c>
      <c r="N38">
        <v>0.1</v>
      </c>
    </row>
    <row r="39" spans="1:14" x14ac:dyDescent="0.2">
      <c r="A39" t="s">
        <v>172</v>
      </c>
      <c r="B39">
        <v>0.7</v>
      </c>
      <c r="C39">
        <v>0.4</v>
      </c>
      <c r="D39">
        <v>0.4</v>
      </c>
      <c r="E39">
        <v>0.35</v>
      </c>
      <c r="F39">
        <v>1</v>
      </c>
      <c r="G39">
        <v>0.1</v>
      </c>
      <c r="H39">
        <v>0</v>
      </c>
      <c r="I39">
        <v>0.2</v>
      </c>
      <c r="J39">
        <v>0.1</v>
      </c>
      <c r="K39">
        <v>0</v>
      </c>
      <c r="L39">
        <v>0</v>
      </c>
      <c r="M39">
        <v>0.05</v>
      </c>
      <c r="N39">
        <v>0.15</v>
      </c>
    </row>
    <row r="40" spans="1:14" x14ac:dyDescent="0.2">
      <c r="A40" t="s">
        <v>173</v>
      </c>
      <c r="B40">
        <v>0.8</v>
      </c>
      <c r="C40">
        <v>0.7</v>
      </c>
      <c r="D40">
        <v>0.4</v>
      </c>
      <c r="E40">
        <v>0.15</v>
      </c>
      <c r="F40">
        <v>1.2</v>
      </c>
      <c r="G40">
        <v>0.14000000000000001</v>
      </c>
      <c r="H40">
        <v>0</v>
      </c>
      <c r="I40">
        <v>0.25</v>
      </c>
      <c r="J40">
        <v>0.15</v>
      </c>
      <c r="K40">
        <v>0</v>
      </c>
      <c r="L40">
        <v>0</v>
      </c>
      <c r="M40">
        <v>0.05</v>
      </c>
      <c r="N40">
        <v>0.15</v>
      </c>
    </row>
    <row r="41" spans="1:14" x14ac:dyDescent="0.2">
      <c r="A41" t="s">
        <v>174</v>
      </c>
      <c r="B41">
        <v>0.8</v>
      </c>
      <c r="C41">
        <v>0.7</v>
      </c>
      <c r="D41">
        <v>0.4</v>
      </c>
      <c r="E41">
        <v>0.15</v>
      </c>
      <c r="F41">
        <v>1.2</v>
      </c>
      <c r="G41">
        <v>0.14000000000000001</v>
      </c>
      <c r="H41">
        <v>0</v>
      </c>
      <c r="I41">
        <v>0.25</v>
      </c>
      <c r="J41">
        <v>0.1</v>
      </c>
      <c r="K41">
        <v>0</v>
      </c>
      <c r="L41">
        <v>0</v>
      </c>
      <c r="M41">
        <v>0.05</v>
      </c>
      <c r="N41">
        <v>0.15</v>
      </c>
    </row>
    <row r="42" spans="1:14" x14ac:dyDescent="0.2">
      <c r="A42" t="s">
        <v>175</v>
      </c>
      <c r="B42">
        <v>1.3</v>
      </c>
      <c r="C42">
        <v>0.5</v>
      </c>
      <c r="D42">
        <v>0.1</v>
      </c>
      <c r="E42">
        <v>0.8</v>
      </c>
      <c r="F42">
        <v>0.8</v>
      </c>
      <c r="G42">
        <v>0</v>
      </c>
      <c r="H42">
        <v>0</v>
      </c>
      <c r="I42">
        <v>0.2</v>
      </c>
      <c r="J42">
        <v>0.2</v>
      </c>
      <c r="K42">
        <v>0</v>
      </c>
      <c r="L42">
        <v>0</v>
      </c>
      <c r="M42">
        <v>0.05</v>
      </c>
      <c r="N42">
        <v>0.15</v>
      </c>
    </row>
    <row r="43" spans="1:14" x14ac:dyDescent="0.2">
      <c r="A43" t="s">
        <v>176</v>
      </c>
      <c r="B43">
        <v>1.3</v>
      </c>
      <c r="C43">
        <v>0.5</v>
      </c>
      <c r="D43">
        <v>0.1</v>
      </c>
      <c r="E43">
        <v>0.8</v>
      </c>
      <c r="F43">
        <v>0.8</v>
      </c>
      <c r="G43">
        <v>0</v>
      </c>
      <c r="H43">
        <v>0</v>
      </c>
      <c r="I43">
        <v>0.2</v>
      </c>
      <c r="J43">
        <v>0.2</v>
      </c>
      <c r="K43">
        <v>0</v>
      </c>
      <c r="L43">
        <v>0</v>
      </c>
      <c r="M43">
        <v>0.05</v>
      </c>
      <c r="N43">
        <v>0.15</v>
      </c>
    </row>
    <row r="44" spans="1:14" x14ac:dyDescent="0.2">
      <c r="A44" t="s">
        <v>177</v>
      </c>
      <c r="B44">
        <v>0.8</v>
      </c>
      <c r="C44">
        <v>0.3</v>
      </c>
      <c r="D44">
        <v>0.15</v>
      </c>
      <c r="E44">
        <v>0.15</v>
      </c>
      <c r="F44">
        <v>0.45</v>
      </c>
      <c r="G44">
        <v>0.05</v>
      </c>
      <c r="H44">
        <v>0</v>
      </c>
      <c r="I44">
        <v>0.1</v>
      </c>
      <c r="J44">
        <v>0.1</v>
      </c>
      <c r="K44">
        <v>0</v>
      </c>
      <c r="L44">
        <v>0</v>
      </c>
      <c r="M44">
        <v>0.05</v>
      </c>
      <c r="N44">
        <v>0.15</v>
      </c>
    </row>
    <row r="45" spans="1:14" x14ac:dyDescent="0.2">
      <c r="A45" t="s">
        <v>178</v>
      </c>
      <c r="B45">
        <v>0.7</v>
      </c>
      <c r="C45">
        <v>0.04</v>
      </c>
      <c r="D45">
        <v>0.2</v>
      </c>
      <c r="E45">
        <v>0.03</v>
      </c>
      <c r="F45">
        <v>0.7</v>
      </c>
      <c r="G45">
        <v>0</v>
      </c>
      <c r="H45">
        <v>0</v>
      </c>
      <c r="I45">
        <v>0.04</v>
      </c>
      <c r="J45">
        <v>0.01</v>
      </c>
      <c r="K45">
        <v>0</v>
      </c>
      <c r="L45">
        <v>0</v>
      </c>
      <c r="M45">
        <v>0.01</v>
      </c>
      <c r="N45">
        <v>0</v>
      </c>
    </row>
    <row r="46" spans="1:14" x14ac:dyDescent="0.2">
      <c r="A46" t="s">
        <v>179</v>
      </c>
      <c r="B46">
        <v>0.6</v>
      </c>
      <c r="C46">
        <v>0.15</v>
      </c>
      <c r="D46">
        <v>0.2</v>
      </c>
      <c r="E46">
        <v>0.05</v>
      </c>
      <c r="F46">
        <v>0.9</v>
      </c>
      <c r="G46">
        <v>0</v>
      </c>
      <c r="H46">
        <v>0</v>
      </c>
      <c r="I46">
        <v>0.05</v>
      </c>
      <c r="J46">
        <v>0</v>
      </c>
      <c r="K46">
        <v>0</v>
      </c>
      <c r="L46">
        <v>0</v>
      </c>
      <c r="M46">
        <v>0.05</v>
      </c>
      <c r="N46">
        <v>0.15</v>
      </c>
    </row>
    <row r="47" spans="1:14" x14ac:dyDescent="0.2">
      <c r="A47" t="s">
        <v>180</v>
      </c>
      <c r="B47">
        <v>0.5</v>
      </c>
      <c r="C47">
        <v>0.8</v>
      </c>
      <c r="D47">
        <v>0.4</v>
      </c>
      <c r="E47">
        <v>0.1</v>
      </c>
      <c r="F47">
        <v>0.8</v>
      </c>
      <c r="G47">
        <v>0</v>
      </c>
      <c r="H47">
        <v>0</v>
      </c>
      <c r="I47">
        <v>0.2</v>
      </c>
      <c r="J47">
        <v>0</v>
      </c>
      <c r="K47">
        <v>0</v>
      </c>
      <c r="L47">
        <v>0</v>
      </c>
      <c r="M47">
        <v>0.05</v>
      </c>
      <c r="N47">
        <v>0.15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D2DC-B6D2-2549-811A-129B8C562DE6}">
  <dimension ref="A1:N30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181</v>
      </c>
      <c r="B2">
        <v>0</v>
      </c>
      <c r="C2">
        <v>0</v>
      </c>
      <c r="D2">
        <v>0</v>
      </c>
      <c r="E2">
        <v>0</v>
      </c>
      <c r="F2">
        <v>0.5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182</v>
      </c>
      <c r="B3">
        <v>0</v>
      </c>
      <c r="C3">
        <v>0</v>
      </c>
      <c r="D3">
        <v>0</v>
      </c>
      <c r="E3">
        <v>0.2</v>
      </c>
      <c r="F3">
        <v>1</v>
      </c>
      <c r="G3">
        <v>0.06</v>
      </c>
      <c r="H3">
        <v>0</v>
      </c>
      <c r="I3">
        <v>4</v>
      </c>
      <c r="J3">
        <v>0.01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183</v>
      </c>
      <c r="B4">
        <v>0</v>
      </c>
      <c r="C4">
        <v>0</v>
      </c>
      <c r="D4">
        <v>0.6</v>
      </c>
      <c r="E4">
        <v>0</v>
      </c>
      <c r="F4">
        <v>2.1</v>
      </c>
      <c r="G4">
        <v>0.1</v>
      </c>
      <c r="H4">
        <v>0</v>
      </c>
      <c r="I4">
        <v>5.5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184</v>
      </c>
      <c r="B5">
        <v>0</v>
      </c>
      <c r="C5">
        <v>0</v>
      </c>
      <c r="D5">
        <v>1.5</v>
      </c>
      <c r="E5">
        <v>0</v>
      </c>
      <c r="F5">
        <v>2.1</v>
      </c>
      <c r="G5">
        <v>0</v>
      </c>
      <c r="H5">
        <v>0</v>
      </c>
      <c r="I5">
        <v>5.7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185</v>
      </c>
      <c r="B6">
        <v>0</v>
      </c>
      <c r="C6">
        <v>0</v>
      </c>
      <c r="D6">
        <v>0.8</v>
      </c>
      <c r="E6">
        <v>0.08</v>
      </c>
      <c r="F6">
        <v>1.8</v>
      </c>
      <c r="G6">
        <v>0</v>
      </c>
      <c r="H6">
        <v>0</v>
      </c>
      <c r="I6">
        <v>5.8</v>
      </c>
      <c r="J6">
        <v>0.02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186</v>
      </c>
      <c r="B7">
        <v>0</v>
      </c>
      <c r="C7">
        <v>0</v>
      </c>
      <c r="D7">
        <v>0.06</v>
      </c>
      <c r="E7">
        <v>0</v>
      </c>
      <c r="F7">
        <v>1.3</v>
      </c>
      <c r="G7">
        <v>0</v>
      </c>
      <c r="H7">
        <v>0</v>
      </c>
      <c r="I7">
        <v>4.5999999999999996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187</v>
      </c>
      <c r="B8">
        <v>0</v>
      </c>
      <c r="C8">
        <v>0</v>
      </c>
      <c r="D8">
        <v>0.45</v>
      </c>
      <c r="E8">
        <v>0</v>
      </c>
      <c r="F8">
        <v>0.8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188</v>
      </c>
      <c r="B9">
        <v>0</v>
      </c>
      <c r="C9">
        <v>0</v>
      </c>
      <c r="D9">
        <v>0</v>
      </c>
      <c r="E9">
        <v>0.15</v>
      </c>
      <c r="F9">
        <v>1.5</v>
      </c>
      <c r="G9">
        <v>0</v>
      </c>
      <c r="H9">
        <v>0</v>
      </c>
      <c r="I9">
        <v>3.5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189</v>
      </c>
      <c r="B10">
        <v>0</v>
      </c>
      <c r="C10">
        <v>0</v>
      </c>
      <c r="D10">
        <v>0</v>
      </c>
      <c r="E10">
        <v>0.05</v>
      </c>
      <c r="F10">
        <v>1</v>
      </c>
      <c r="G10">
        <v>0.1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190</v>
      </c>
      <c r="B11">
        <v>0</v>
      </c>
      <c r="C11">
        <v>0</v>
      </c>
      <c r="D11">
        <v>0</v>
      </c>
      <c r="E11">
        <v>0</v>
      </c>
      <c r="F11">
        <v>1.2</v>
      </c>
      <c r="G11">
        <v>0</v>
      </c>
      <c r="H11">
        <v>0</v>
      </c>
      <c r="I11">
        <v>5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191</v>
      </c>
      <c r="B12">
        <v>0</v>
      </c>
      <c r="C12">
        <v>0</v>
      </c>
      <c r="D12">
        <v>0.5</v>
      </c>
      <c r="E12">
        <v>0.1</v>
      </c>
      <c r="F12">
        <v>2.6</v>
      </c>
      <c r="G12">
        <v>0.1</v>
      </c>
      <c r="H12">
        <v>0</v>
      </c>
      <c r="I12">
        <v>4.3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192</v>
      </c>
      <c r="B13">
        <v>0</v>
      </c>
      <c r="C13">
        <v>0</v>
      </c>
      <c r="D13">
        <v>0.6</v>
      </c>
      <c r="E13">
        <v>0.05</v>
      </c>
      <c r="F13">
        <v>1.5</v>
      </c>
      <c r="G13">
        <v>0</v>
      </c>
      <c r="H13">
        <v>0</v>
      </c>
      <c r="I13">
        <v>4.5999999999999996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193</v>
      </c>
      <c r="B14">
        <v>0</v>
      </c>
      <c r="C14">
        <v>0</v>
      </c>
      <c r="D14">
        <v>0.5</v>
      </c>
      <c r="E14">
        <v>0</v>
      </c>
      <c r="F14">
        <v>1.3</v>
      </c>
      <c r="G14">
        <v>0</v>
      </c>
      <c r="H14">
        <v>0</v>
      </c>
      <c r="I14">
        <v>4.2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194</v>
      </c>
      <c r="B15">
        <v>0</v>
      </c>
      <c r="C15">
        <v>0</v>
      </c>
      <c r="D15">
        <v>0.2</v>
      </c>
      <c r="E15">
        <v>0</v>
      </c>
      <c r="F15">
        <v>1</v>
      </c>
      <c r="G15">
        <v>0</v>
      </c>
      <c r="H15">
        <v>0</v>
      </c>
      <c r="I15">
        <v>4.8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195</v>
      </c>
      <c r="B16">
        <v>0</v>
      </c>
      <c r="C16">
        <v>0</v>
      </c>
      <c r="D16">
        <v>0</v>
      </c>
      <c r="E16">
        <v>0.1</v>
      </c>
      <c r="F16">
        <v>2.2999999999999998</v>
      </c>
      <c r="G16">
        <v>0.15</v>
      </c>
      <c r="H16">
        <v>0</v>
      </c>
      <c r="I16">
        <v>3.5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196</v>
      </c>
      <c r="B17">
        <v>0</v>
      </c>
      <c r="C17">
        <v>0</v>
      </c>
      <c r="D17">
        <v>1.2</v>
      </c>
      <c r="E17">
        <v>0</v>
      </c>
      <c r="F17">
        <v>2.1</v>
      </c>
      <c r="G17">
        <v>0.05</v>
      </c>
      <c r="H17">
        <v>0</v>
      </c>
      <c r="I17">
        <v>7.2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197</v>
      </c>
      <c r="B18">
        <v>0</v>
      </c>
      <c r="C18">
        <v>0</v>
      </c>
      <c r="D18">
        <v>2</v>
      </c>
      <c r="E18">
        <v>0</v>
      </c>
      <c r="F18">
        <v>1.9</v>
      </c>
      <c r="G18">
        <v>0</v>
      </c>
      <c r="H18">
        <v>0</v>
      </c>
      <c r="I18">
        <v>5.7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198</v>
      </c>
      <c r="B19">
        <v>0</v>
      </c>
      <c r="C19">
        <v>0</v>
      </c>
      <c r="D19">
        <v>1.8</v>
      </c>
      <c r="E19">
        <v>0</v>
      </c>
      <c r="F19">
        <v>1.3</v>
      </c>
      <c r="G19">
        <v>0.15</v>
      </c>
      <c r="H19">
        <v>0</v>
      </c>
      <c r="I19">
        <v>6.1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199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0.8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200</v>
      </c>
      <c r="B21">
        <v>0</v>
      </c>
      <c r="C21">
        <v>0</v>
      </c>
      <c r="D21">
        <v>1.2</v>
      </c>
      <c r="E21">
        <v>0</v>
      </c>
      <c r="F21">
        <v>2.1</v>
      </c>
      <c r="G21">
        <v>0.18</v>
      </c>
      <c r="H21">
        <v>0</v>
      </c>
      <c r="I21">
        <v>5.0999999999999996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201</v>
      </c>
      <c r="B22">
        <v>0</v>
      </c>
      <c r="C22">
        <v>0</v>
      </c>
      <c r="D22">
        <v>0</v>
      </c>
      <c r="E22">
        <v>0</v>
      </c>
      <c r="F22">
        <v>0.7</v>
      </c>
      <c r="G22">
        <v>0</v>
      </c>
      <c r="H22">
        <v>0</v>
      </c>
      <c r="I22">
        <v>4.5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202</v>
      </c>
      <c r="B23">
        <v>0</v>
      </c>
      <c r="C23">
        <v>0</v>
      </c>
      <c r="D23">
        <v>0</v>
      </c>
      <c r="E23">
        <v>0</v>
      </c>
      <c r="F23">
        <v>0.7</v>
      </c>
      <c r="G23">
        <v>0</v>
      </c>
      <c r="H23">
        <v>0</v>
      </c>
      <c r="I23">
        <v>4.8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203</v>
      </c>
      <c r="B24">
        <v>0</v>
      </c>
      <c r="C24">
        <v>0</v>
      </c>
      <c r="D24">
        <v>0.5</v>
      </c>
      <c r="E24">
        <v>0</v>
      </c>
      <c r="F24">
        <v>0.8</v>
      </c>
      <c r="G24">
        <v>0</v>
      </c>
      <c r="H24">
        <v>0</v>
      </c>
      <c r="I24">
        <v>4.2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204</v>
      </c>
      <c r="B25">
        <v>0</v>
      </c>
      <c r="C25">
        <v>0</v>
      </c>
      <c r="D25">
        <v>0.5</v>
      </c>
      <c r="E25">
        <v>0</v>
      </c>
      <c r="F25">
        <v>1.3</v>
      </c>
      <c r="G25">
        <v>0</v>
      </c>
      <c r="H25">
        <v>0</v>
      </c>
      <c r="I25">
        <v>4.2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205</v>
      </c>
      <c r="B26">
        <v>0</v>
      </c>
      <c r="C26">
        <v>0</v>
      </c>
      <c r="D26">
        <v>1.2</v>
      </c>
      <c r="E26">
        <v>0</v>
      </c>
      <c r="F26">
        <v>2</v>
      </c>
      <c r="G26">
        <v>0.1</v>
      </c>
      <c r="H26">
        <v>0</v>
      </c>
      <c r="I26">
        <v>7.2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206</v>
      </c>
      <c r="B27">
        <v>0</v>
      </c>
      <c r="C27">
        <v>0</v>
      </c>
      <c r="D27">
        <v>1.9</v>
      </c>
      <c r="E27">
        <v>0</v>
      </c>
      <c r="F27">
        <v>2</v>
      </c>
      <c r="G27">
        <v>0</v>
      </c>
      <c r="H27">
        <v>0</v>
      </c>
      <c r="I27">
        <v>5.9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207</v>
      </c>
      <c r="B28">
        <v>0</v>
      </c>
      <c r="C28">
        <v>0</v>
      </c>
      <c r="D28">
        <v>1.2</v>
      </c>
      <c r="E28">
        <v>0</v>
      </c>
      <c r="F28">
        <v>2.1</v>
      </c>
      <c r="G28">
        <v>0.18</v>
      </c>
      <c r="H28">
        <v>0</v>
      </c>
      <c r="I28">
        <v>5.0999999999999996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208</v>
      </c>
      <c r="B29">
        <v>0</v>
      </c>
      <c r="C29">
        <v>0</v>
      </c>
      <c r="D29">
        <v>1.6</v>
      </c>
      <c r="E29">
        <v>0</v>
      </c>
      <c r="F29">
        <v>2.4</v>
      </c>
      <c r="G29">
        <v>0.18</v>
      </c>
      <c r="H29">
        <v>0</v>
      </c>
      <c r="I29">
        <v>6.3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209</v>
      </c>
      <c r="B30">
        <v>0</v>
      </c>
      <c r="C30">
        <v>0</v>
      </c>
      <c r="D30">
        <v>1.2</v>
      </c>
      <c r="E30">
        <v>0</v>
      </c>
      <c r="F30">
        <v>1.9</v>
      </c>
      <c r="G30">
        <v>0.18</v>
      </c>
      <c r="H30">
        <v>0</v>
      </c>
      <c r="I30">
        <v>5.2</v>
      </c>
      <c r="J30">
        <v>0</v>
      </c>
      <c r="K30">
        <v>0</v>
      </c>
      <c r="L30">
        <v>0</v>
      </c>
      <c r="M30">
        <v>0</v>
      </c>
      <c r="N30">
        <v>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BDE0-633E-7B4D-B7E6-CDAD55166D50}">
  <dimension ref="A1:N30"/>
  <sheetViews>
    <sheetView workbookViewId="0">
      <selection activeCell="Y44" sqref="Y44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390</v>
      </c>
    </row>
    <row r="2" spans="1:14" x14ac:dyDescent="0.2">
      <c r="A2" t="s">
        <v>181</v>
      </c>
      <c r="B2">
        <v>0.3</v>
      </c>
      <c r="C2">
        <v>0.35</v>
      </c>
      <c r="D2">
        <v>0.2</v>
      </c>
      <c r="E2">
        <v>0.3</v>
      </c>
      <c r="F2">
        <v>1</v>
      </c>
      <c r="G2">
        <v>0.2</v>
      </c>
      <c r="H2">
        <v>0</v>
      </c>
      <c r="I2">
        <v>6.5</v>
      </c>
      <c r="J2">
        <v>0.2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182</v>
      </c>
      <c r="B3">
        <v>0.35</v>
      </c>
      <c r="C3">
        <v>0.4</v>
      </c>
      <c r="D3">
        <v>0.1</v>
      </c>
      <c r="E3">
        <v>0.7</v>
      </c>
      <c r="F3">
        <v>1.8</v>
      </c>
      <c r="G3">
        <v>0.2</v>
      </c>
      <c r="H3">
        <v>0</v>
      </c>
      <c r="I3">
        <v>5</v>
      </c>
      <c r="J3">
        <v>0.06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183</v>
      </c>
      <c r="B4">
        <v>0.2</v>
      </c>
      <c r="C4">
        <v>0.2</v>
      </c>
      <c r="D4">
        <v>1.3</v>
      </c>
      <c r="E4">
        <v>0.1</v>
      </c>
      <c r="F4">
        <v>2.9</v>
      </c>
      <c r="G4">
        <v>0.25</v>
      </c>
      <c r="H4">
        <v>0</v>
      </c>
      <c r="I4">
        <v>6.5</v>
      </c>
      <c r="J4">
        <v>0.2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184</v>
      </c>
      <c r="B5">
        <v>0.12</v>
      </c>
      <c r="C5">
        <v>0.15</v>
      </c>
      <c r="D5">
        <v>2</v>
      </c>
      <c r="E5">
        <v>0.1</v>
      </c>
      <c r="F5">
        <v>2.6</v>
      </c>
      <c r="G5">
        <v>0.05</v>
      </c>
      <c r="H5">
        <v>0.05</v>
      </c>
      <c r="I5">
        <v>6.7</v>
      </c>
      <c r="J5">
        <v>0.06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185</v>
      </c>
      <c r="B6">
        <v>0.15</v>
      </c>
      <c r="C6">
        <v>0.25</v>
      </c>
      <c r="D6">
        <v>1.2</v>
      </c>
      <c r="E6">
        <v>0.15</v>
      </c>
      <c r="F6">
        <v>2.2000000000000002</v>
      </c>
      <c r="G6">
        <v>0.04</v>
      </c>
      <c r="H6">
        <v>0</v>
      </c>
      <c r="I6">
        <v>6.5</v>
      </c>
      <c r="J6">
        <v>0.08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186</v>
      </c>
      <c r="B7">
        <v>0.2</v>
      </c>
      <c r="C7">
        <v>0.3</v>
      </c>
      <c r="D7">
        <v>0.15</v>
      </c>
      <c r="E7">
        <v>0.1</v>
      </c>
      <c r="F7">
        <v>2.1</v>
      </c>
      <c r="G7">
        <v>0.15</v>
      </c>
      <c r="H7">
        <v>0</v>
      </c>
      <c r="I7">
        <v>5.2</v>
      </c>
      <c r="J7">
        <v>0.1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187</v>
      </c>
      <c r="B8">
        <v>0.1</v>
      </c>
      <c r="C8">
        <v>0.12</v>
      </c>
      <c r="D8">
        <v>1</v>
      </c>
      <c r="E8">
        <v>0.03</v>
      </c>
      <c r="F8">
        <v>1.4</v>
      </c>
      <c r="G8">
        <v>0</v>
      </c>
      <c r="H8">
        <v>0</v>
      </c>
      <c r="I8">
        <v>5</v>
      </c>
      <c r="J8">
        <v>0.03</v>
      </c>
      <c r="K8">
        <v>0</v>
      </c>
      <c r="L8">
        <v>0.05</v>
      </c>
      <c r="M8">
        <v>0.03</v>
      </c>
      <c r="N8">
        <v>0.1</v>
      </c>
    </row>
    <row r="9" spans="1:14" x14ac:dyDescent="0.2">
      <c r="A9" t="s">
        <v>188</v>
      </c>
      <c r="B9">
        <v>0.35</v>
      </c>
      <c r="C9">
        <v>0.45</v>
      </c>
      <c r="D9">
        <v>0.2</v>
      </c>
      <c r="E9">
        <v>0.5</v>
      </c>
      <c r="F9">
        <v>2.5</v>
      </c>
      <c r="G9">
        <v>0.2</v>
      </c>
      <c r="H9">
        <v>0.1</v>
      </c>
      <c r="I9">
        <v>4.5</v>
      </c>
      <c r="J9">
        <v>0.15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189</v>
      </c>
      <c r="B10">
        <v>0.35</v>
      </c>
      <c r="C10">
        <v>0.4</v>
      </c>
      <c r="D10">
        <v>0.2</v>
      </c>
      <c r="E10">
        <v>0.5</v>
      </c>
      <c r="F10">
        <v>1.4</v>
      </c>
      <c r="G10">
        <v>0.35</v>
      </c>
      <c r="H10">
        <v>0</v>
      </c>
      <c r="I10">
        <v>5</v>
      </c>
      <c r="J10">
        <v>0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190</v>
      </c>
      <c r="B11">
        <v>0.25</v>
      </c>
      <c r="C11">
        <v>0.4</v>
      </c>
      <c r="D11">
        <v>0.25</v>
      </c>
      <c r="E11">
        <v>0.1</v>
      </c>
      <c r="F11">
        <v>1.8</v>
      </c>
      <c r="G11">
        <v>0.05</v>
      </c>
      <c r="H11">
        <v>0</v>
      </c>
      <c r="I11">
        <v>6</v>
      </c>
      <c r="J11">
        <v>0.1</v>
      </c>
      <c r="K11">
        <v>0</v>
      </c>
      <c r="L11">
        <v>0</v>
      </c>
      <c r="M11">
        <v>0.05</v>
      </c>
      <c r="N11">
        <v>0.15</v>
      </c>
    </row>
    <row r="12" spans="1:14" x14ac:dyDescent="0.2">
      <c r="A12" t="s">
        <v>191</v>
      </c>
      <c r="B12">
        <v>0.5</v>
      </c>
      <c r="C12">
        <v>0.5</v>
      </c>
      <c r="D12">
        <v>1</v>
      </c>
      <c r="E12">
        <v>0.4</v>
      </c>
      <c r="F12">
        <v>3.7</v>
      </c>
      <c r="G12">
        <v>0.3</v>
      </c>
      <c r="H12">
        <v>0</v>
      </c>
      <c r="I12">
        <v>5.2</v>
      </c>
      <c r="J12">
        <v>0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192</v>
      </c>
      <c r="B13">
        <v>0.08</v>
      </c>
      <c r="C13">
        <v>0.12</v>
      </c>
      <c r="D13">
        <v>0.9</v>
      </c>
      <c r="E13">
        <v>0.2</v>
      </c>
      <c r="F13">
        <v>1.9</v>
      </c>
      <c r="G13">
        <v>0</v>
      </c>
      <c r="H13">
        <v>0</v>
      </c>
      <c r="I13">
        <v>5.2</v>
      </c>
      <c r="J13">
        <v>0.05</v>
      </c>
      <c r="K13">
        <v>0</v>
      </c>
      <c r="L13">
        <v>0</v>
      </c>
      <c r="M13">
        <v>0.03</v>
      </c>
      <c r="N13">
        <v>0.1</v>
      </c>
    </row>
    <row r="14" spans="1:14" x14ac:dyDescent="0.2">
      <c r="A14" t="s">
        <v>193</v>
      </c>
      <c r="B14">
        <v>0.1</v>
      </c>
      <c r="C14">
        <v>0.12</v>
      </c>
      <c r="D14">
        <v>0.9</v>
      </c>
      <c r="E14">
        <v>0.03</v>
      </c>
      <c r="F14">
        <v>2</v>
      </c>
      <c r="G14">
        <v>0</v>
      </c>
      <c r="H14">
        <v>0</v>
      </c>
      <c r="I14">
        <v>5.2</v>
      </c>
      <c r="J14">
        <v>0.05</v>
      </c>
      <c r="K14">
        <v>0</v>
      </c>
      <c r="L14">
        <v>0.05</v>
      </c>
      <c r="M14">
        <v>0.03</v>
      </c>
      <c r="N14">
        <v>0.1</v>
      </c>
    </row>
    <row r="15" spans="1:14" x14ac:dyDescent="0.2">
      <c r="A15" t="s">
        <v>194</v>
      </c>
      <c r="B15">
        <v>0.2</v>
      </c>
      <c r="C15">
        <v>0.3</v>
      </c>
      <c r="D15">
        <v>0.4</v>
      </c>
      <c r="E15">
        <v>0.05</v>
      </c>
      <c r="F15">
        <v>1.5</v>
      </c>
      <c r="G15">
        <v>0.04</v>
      </c>
      <c r="H15">
        <v>0</v>
      </c>
      <c r="I15">
        <v>5.9</v>
      </c>
      <c r="J15">
        <v>0.03</v>
      </c>
      <c r="K15">
        <v>0.03</v>
      </c>
      <c r="L15">
        <v>0</v>
      </c>
      <c r="M15">
        <v>0.05</v>
      </c>
      <c r="N15">
        <v>0.15</v>
      </c>
    </row>
    <row r="16" spans="1:14" x14ac:dyDescent="0.2">
      <c r="A16" t="s">
        <v>195</v>
      </c>
      <c r="B16">
        <v>0.3</v>
      </c>
      <c r="C16">
        <v>0.4</v>
      </c>
      <c r="D16">
        <v>0.1</v>
      </c>
      <c r="E16">
        <v>0.4</v>
      </c>
      <c r="F16">
        <v>3.3</v>
      </c>
      <c r="G16">
        <v>0.25</v>
      </c>
      <c r="H16">
        <v>0</v>
      </c>
      <c r="I16">
        <v>4.5</v>
      </c>
      <c r="J16">
        <v>0.1</v>
      </c>
      <c r="K16">
        <v>0</v>
      </c>
      <c r="L16">
        <v>0</v>
      </c>
      <c r="M16">
        <v>0.05</v>
      </c>
      <c r="N16">
        <v>0.15</v>
      </c>
    </row>
    <row r="17" spans="1:14" x14ac:dyDescent="0.2">
      <c r="A17" t="s">
        <v>196</v>
      </c>
      <c r="B17">
        <v>0.4</v>
      </c>
      <c r="C17">
        <v>0.5</v>
      </c>
      <c r="D17">
        <v>1.9</v>
      </c>
      <c r="E17">
        <v>0.5</v>
      </c>
      <c r="F17">
        <v>3.1</v>
      </c>
      <c r="G17">
        <v>0.25</v>
      </c>
      <c r="H17">
        <v>0</v>
      </c>
      <c r="I17">
        <v>8.4</v>
      </c>
      <c r="J17">
        <v>0</v>
      </c>
      <c r="K17">
        <v>0</v>
      </c>
      <c r="L17">
        <v>0</v>
      </c>
      <c r="M17">
        <v>0.05</v>
      </c>
      <c r="N17">
        <v>0.15</v>
      </c>
    </row>
    <row r="18" spans="1:14" x14ac:dyDescent="0.2">
      <c r="A18" t="s">
        <v>197</v>
      </c>
      <c r="B18">
        <v>0.12</v>
      </c>
      <c r="C18">
        <v>0.15</v>
      </c>
      <c r="D18">
        <v>2.6</v>
      </c>
      <c r="E18">
        <v>0.1</v>
      </c>
      <c r="F18">
        <v>2.6</v>
      </c>
      <c r="G18">
        <v>0.04</v>
      </c>
      <c r="H18">
        <v>0</v>
      </c>
      <c r="I18">
        <v>6.7</v>
      </c>
      <c r="J18">
        <v>0.06</v>
      </c>
      <c r="K18">
        <v>0</v>
      </c>
      <c r="L18">
        <v>0</v>
      </c>
      <c r="M18">
        <v>0.05</v>
      </c>
      <c r="N18">
        <v>0.15</v>
      </c>
    </row>
    <row r="19" spans="1:14" x14ac:dyDescent="0.2">
      <c r="A19" t="s">
        <v>198</v>
      </c>
      <c r="B19">
        <v>0.15</v>
      </c>
      <c r="C19">
        <v>0.2</v>
      </c>
      <c r="D19">
        <v>2.6</v>
      </c>
      <c r="E19">
        <v>0.2</v>
      </c>
      <c r="F19">
        <v>2.1</v>
      </c>
      <c r="G19">
        <v>0.25</v>
      </c>
      <c r="H19">
        <v>0</v>
      </c>
      <c r="I19">
        <v>7.5</v>
      </c>
      <c r="J19">
        <v>0.05</v>
      </c>
      <c r="K19">
        <v>0</v>
      </c>
      <c r="L19">
        <v>0</v>
      </c>
      <c r="M19">
        <v>0.05</v>
      </c>
      <c r="N19">
        <v>0.15</v>
      </c>
    </row>
    <row r="20" spans="1:14" x14ac:dyDescent="0.2">
      <c r="A20" t="s">
        <v>199</v>
      </c>
      <c r="B20">
        <v>0.35</v>
      </c>
      <c r="C20">
        <v>0.35</v>
      </c>
      <c r="D20">
        <v>0.1</v>
      </c>
      <c r="E20">
        <v>0.1</v>
      </c>
      <c r="F20">
        <v>0.1</v>
      </c>
      <c r="G20">
        <v>0</v>
      </c>
      <c r="H20">
        <v>0</v>
      </c>
      <c r="I20">
        <v>1.3</v>
      </c>
      <c r="J20">
        <v>0</v>
      </c>
      <c r="K20">
        <v>0</v>
      </c>
      <c r="L20">
        <v>0</v>
      </c>
      <c r="M20">
        <v>0.05</v>
      </c>
      <c r="N20">
        <v>0.15</v>
      </c>
    </row>
    <row r="21" spans="1:14" x14ac:dyDescent="0.2">
      <c r="A21" t="s">
        <v>200</v>
      </c>
      <c r="B21">
        <v>0.4</v>
      </c>
      <c r="C21">
        <v>0.5</v>
      </c>
      <c r="D21">
        <v>2</v>
      </c>
      <c r="E21">
        <v>0.3</v>
      </c>
      <c r="F21">
        <v>2.9</v>
      </c>
      <c r="G21">
        <v>0.28000000000000003</v>
      </c>
      <c r="H21">
        <v>0</v>
      </c>
      <c r="I21">
        <v>6.1</v>
      </c>
      <c r="J21">
        <v>0.2</v>
      </c>
      <c r="K21">
        <v>0</v>
      </c>
      <c r="L21">
        <v>0</v>
      </c>
      <c r="M21">
        <v>0.05</v>
      </c>
      <c r="N21">
        <v>0.15</v>
      </c>
    </row>
    <row r="22" spans="1:14" x14ac:dyDescent="0.2">
      <c r="A22" t="s">
        <v>201</v>
      </c>
      <c r="B22">
        <v>0.1</v>
      </c>
      <c r="C22">
        <v>0.1</v>
      </c>
      <c r="D22">
        <v>0.05</v>
      </c>
      <c r="E22">
        <v>0.05</v>
      </c>
      <c r="F22">
        <v>1.4</v>
      </c>
      <c r="G22">
        <v>0</v>
      </c>
      <c r="H22">
        <v>0</v>
      </c>
      <c r="I22">
        <v>5.5</v>
      </c>
      <c r="J22">
        <v>0.05</v>
      </c>
      <c r="K22">
        <v>0</v>
      </c>
      <c r="L22">
        <v>0</v>
      </c>
      <c r="M22">
        <v>0.05</v>
      </c>
      <c r="N22">
        <v>0.15</v>
      </c>
    </row>
    <row r="23" spans="1:14" x14ac:dyDescent="0.2">
      <c r="A23" t="s">
        <v>202</v>
      </c>
      <c r="B23">
        <v>0.2</v>
      </c>
      <c r="C23">
        <v>0.3</v>
      </c>
      <c r="D23">
        <v>0.05</v>
      </c>
      <c r="E23">
        <v>0.05</v>
      </c>
      <c r="F23">
        <v>1.5</v>
      </c>
      <c r="G23">
        <v>0.04</v>
      </c>
      <c r="H23">
        <v>0</v>
      </c>
      <c r="I23">
        <v>5.8</v>
      </c>
      <c r="J23">
        <v>0.03</v>
      </c>
      <c r="K23">
        <v>0.03</v>
      </c>
      <c r="L23">
        <v>0</v>
      </c>
      <c r="M23">
        <v>0.05</v>
      </c>
      <c r="N23">
        <v>0.15</v>
      </c>
    </row>
    <row r="24" spans="1:14" x14ac:dyDescent="0.2">
      <c r="A24" t="s">
        <v>203</v>
      </c>
      <c r="B24">
        <v>0.15</v>
      </c>
      <c r="C24">
        <v>0.3</v>
      </c>
      <c r="D24">
        <v>1.1000000000000001</v>
      </c>
      <c r="E24">
        <v>0.05</v>
      </c>
      <c r="F24">
        <v>1.4</v>
      </c>
      <c r="G24">
        <v>0</v>
      </c>
      <c r="H24">
        <v>0</v>
      </c>
      <c r="I24">
        <v>5.2</v>
      </c>
      <c r="J24">
        <v>0.05</v>
      </c>
      <c r="K24">
        <v>0.03</v>
      </c>
      <c r="L24">
        <v>0.05</v>
      </c>
      <c r="M24">
        <v>0.05</v>
      </c>
      <c r="N24">
        <v>0.15</v>
      </c>
    </row>
    <row r="25" spans="1:14" x14ac:dyDescent="0.2">
      <c r="A25" t="s">
        <v>204</v>
      </c>
      <c r="B25">
        <v>0.15</v>
      </c>
      <c r="C25">
        <v>0.3</v>
      </c>
      <c r="D25">
        <v>0.9</v>
      </c>
      <c r="E25">
        <v>0.1</v>
      </c>
      <c r="F25">
        <v>2</v>
      </c>
      <c r="G25">
        <v>0.1</v>
      </c>
      <c r="H25">
        <v>0</v>
      </c>
      <c r="I25">
        <v>5.2</v>
      </c>
      <c r="J25">
        <v>0.05</v>
      </c>
      <c r="K25">
        <v>0.03</v>
      </c>
      <c r="L25">
        <v>0.05</v>
      </c>
      <c r="M25">
        <v>0.05</v>
      </c>
      <c r="N25">
        <v>0.15</v>
      </c>
    </row>
    <row r="26" spans="1:14" x14ac:dyDescent="0.2">
      <c r="A26" t="s">
        <v>205</v>
      </c>
      <c r="B26">
        <v>0.15</v>
      </c>
      <c r="C26">
        <v>0.2</v>
      </c>
      <c r="D26">
        <v>1.9</v>
      </c>
      <c r="E26">
        <v>0.2</v>
      </c>
      <c r="F26">
        <v>2.9</v>
      </c>
      <c r="G26">
        <v>0.22</v>
      </c>
      <c r="H26">
        <v>0</v>
      </c>
      <c r="I26">
        <v>8.1999999999999993</v>
      </c>
      <c r="J26">
        <v>0.1</v>
      </c>
      <c r="K26">
        <v>0</v>
      </c>
      <c r="L26">
        <v>0</v>
      </c>
      <c r="M26">
        <v>0.05</v>
      </c>
      <c r="N26">
        <v>0.15</v>
      </c>
    </row>
    <row r="27" spans="1:14" x14ac:dyDescent="0.2">
      <c r="A27" t="s">
        <v>206</v>
      </c>
      <c r="B27">
        <v>0.12</v>
      </c>
      <c r="C27">
        <v>0.15</v>
      </c>
      <c r="D27">
        <v>2.5</v>
      </c>
      <c r="E27">
        <v>0.1</v>
      </c>
      <c r="F27">
        <v>2.7</v>
      </c>
      <c r="G27">
        <v>0.04</v>
      </c>
      <c r="H27">
        <v>0</v>
      </c>
      <c r="I27">
        <v>6.9</v>
      </c>
      <c r="J27">
        <v>0.06</v>
      </c>
      <c r="K27">
        <v>0</v>
      </c>
      <c r="L27">
        <v>0</v>
      </c>
      <c r="M27">
        <v>0.05</v>
      </c>
      <c r="N27">
        <v>0.15</v>
      </c>
    </row>
    <row r="28" spans="1:14" x14ac:dyDescent="0.2">
      <c r="A28" t="s">
        <v>207</v>
      </c>
      <c r="B28">
        <v>0.15</v>
      </c>
      <c r="C28">
        <v>0.2</v>
      </c>
      <c r="D28">
        <v>2</v>
      </c>
      <c r="E28">
        <v>0.1</v>
      </c>
      <c r="F28">
        <v>2.9</v>
      </c>
      <c r="G28">
        <v>0.28000000000000003</v>
      </c>
      <c r="H28">
        <v>0</v>
      </c>
      <c r="I28">
        <v>6.1</v>
      </c>
      <c r="J28">
        <v>0.1</v>
      </c>
      <c r="K28">
        <v>0</v>
      </c>
      <c r="L28">
        <v>0</v>
      </c>
      <c r="M28">
        <v>0.05</v>
      </c>
      <c r="N28">
        <v>0.15</v>
      </c>
    </row>
    <row r="29" spans="1:14" x14ac:dyDescent="0.2">
      <c r="A29" t="s">
        <v>208</v>
      </c>
      <c r="B29">
        <v>0.4</v>
      </c>
      <c r="C29">
        <v>0.5</v>
      </c>
      <c r="D29">
        <v>2.4</v>
      </c>
      <c r="E29">
        <v>0.3</v>
      </c>
      <c r="F29">
        <v>3.1</v>
      </c>
      <c r="G29">
        <v>0.28000000000000003</v>
      </c>
      <c r="H29">
        <v>0</v>
      </c>
      <c r="I29">
        <v>7.3</v>
      </c>
      <c r="J29">
        <v>0.2</v>
      </c>
      <c r="K29">
        <v>0</v>
      </c>
      <c r="L29">
        <v>0</v>
      </c>
      <c r="M29">
        <v>0.05</v>
      </c>
      <c r="N29">
        <v>0.15</v>
      </c>
    </row>
    <row r="30" spans="1:14" x14ac:dyDescent="0.2">
      <c r="A30" t="s">
        <v>209</v>
      </c>
      <c r="B30">
        <v>0.1</v>
      </c>
      <c r="C30">
        <v>0.12</v>
      </c>
      <c r="D30">
        <v>1.9</v>
      </c>
      <c r="E30">
        <v>0.06</v>
      </c>
      <c r="F30">
        <v>2.6</v>
      </c>
      <c r="G30">
        <v>0.25</v>
      </c>
      <c r="H30">
        <v>0</v>
      </c>
      <c r="I30">
        <v>6.2</v>
      </c>
      <c r="J30">
        <v>0.06</v>
      </c>
      <c r="K30">
        <v>0</v>
      </c>
      <c r="L30">
        <v>0</v>
      </c>
      <c r="M30">
        <v>0.05</v>
      </c>
      <c r="N30">
        <v>0.15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BA9E-D5E9-C043-9AFD-04C0DDB5F82E}">
  <dimension ref="A1:C10"/>
  <sheetViews>
    <sheetView zoomScale="198" zoomScaleNormal="198" workbookViewId="0">
      <selection activeCell="A10" sqref="A10"/>
    </sheetView>
  </sheetViews>
  <sheetFormatPr baseColWidth="10" defaultRowHeight="16" x14ac:dyDescent="0.2"/>
  <cols>
    <col min="1" max="1" width="15.1640625" customWidth="1"/>
  </cols>
  <sheetData>
    <row r="1" spans="1:3" x14ac:dyDescent="0.2">
      <c r="A1" s="5" t="s">
        <v>321</v>
      </c>
      <c r="B1" s="5" t="s">
        <v>236</v>
      </c>
      <c r="C1" s="5" t="s">
        <v>237</v>
      </c>
    </row>
    <row r="2" spans="1:3" x14ac:dyDescent="0.2">
      <c r="A2" t="s">
        <v>272</v>
      </c>
      <c r="B2">
        <f>1/9</f>
        <v>0.1111111111111111</v>
      </c>
    </row>
    <row r="3" spans="1:3" x14ac:dyDescent="0.2">
      <c r="A3" t="s">
        <v>273</v>
      </c>
      <c r="B3">
        <f t="shared" ref="B3:B10" si="0">1/9</f>
        <v>0.1111111111111111</v>
      </c>
    </row>
    <row r="4" spans="1:3" x14ac:dyDescent="0.2">
      <c r="A4" s="12" t="s">
        <v>274</v>
      </c>
      <c r="B4">
        <f t="shared" si="0"/>
        <v>0.1111111111111111</v>
      </c>
    </row>
    <row r="5" spans="1:3" x14ac:dyDescent="0.2">
      <c r="A5" s="12" t="s">
        <v>277</v>
      </c>
      <c r="B5">
        <f t="shared" si="0"/>
        <v>0.1111111111111111</v>
      </c>
    </row>
    <row r="6" spans="1:3" x14ac:dyDescent="0.2">
      <c r="A6" t="s">
        <v>254</v>
      </c>
      <c r="B6">
        <f t="shared" si="0"/>
        <v>0.1111111111111111</v>
      </c>
    </row>
    <row r="7" spans="1:3" x14ac:dyDescent="0.2">
      <c r="A7" t="s">
        <v>253</v>
      </c>
      <c r="B7">
        <f t="shared" si="0"/>
        <v>0.1111111111111111</v>
      </c>
    </row>
    <row r="8" spans="1:3" x14ac:dyDescent="0.2">
      <c r="A8" t="s">
        <v>246</v>
      </c>
      <c r="B8">
        <f t="shared" si="0"/>
        <v>0.1111111111111111</v>
      </c>
    </row>
    <row r="9" spans="1:3" x14ac:dyDescent="0.2">
      <c r="A9" t="s">
        <v>247</v>
      </c>
      <c r="B9">
        <f t="shared" si="0"/>
        <v>0.1111111111111111</v>
      </c>
    </row>
    <row r="10" spans="1:3" x14ac:dyDescent="0.2">
      <c r="A10" t="s">
        <v>281</v>
      </c>
      <c r="B10">
        <f t="shared" si="0"/>
        <v>0.1111111111111111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521A-DCAC-A746-A45F-7D87DF65C21C}">
  <dimension ref="A1:C9"/>
  <sheetViews>
    <sheetView zoomScale="180" zoomScaleNormal="180" workbookViewId="0">
      <selection activeCell="A6" sqref="A6"/>
    </sheetView>
  </sheetViews>
  <sheetFormatPr baseColWidth="10" defaultRowHeight="16" x14ac:dyDescent="0.2"/>
  <cols>
    <col min="1" max="1" width="22.33203125" customWidth="1"/>
  </cols>
  <sheetData>
    <row r="1" spans="1:3" x14ac:dyDescent="0.2">
      <c r="A1" s="5" t="s">
        <v>321</v>
      </c>
      <c r="B1" s="5" t="s">
        <v>236</v>
      </c>
      <c r="C1" s="5" t="s">
        <v>237</v>
      </c>
    </row>
    <row r="2" spans="1:3" x14ac:dyDescent="0.2">
      <c r="A2" t="s">
        <v>246</v>
      </c>
      <c r="B2">
        <f>1/8</f>
        <v>0.125</v>
      </c>
    </row>
    <row r="3" spans="1:3" x14ac:dyDescent="0.2">
      <c r="A3" t="s">
        <v>247</v>
      </c>
      <c r="B3">
        <f t="shared" ref="B3:B9" si="0">1/8</f>
        <v>0.125</v>
      </c>
    </row>
    <row r="4" spans="1:3" x14ac:dyDescent="0.2">
      <c r="A4" t="s">
        <v>251</v>
      </c>
      <c r="B4">
        <f t="shared" si="0"/>
        <v>0.125</v>
      </c>
    </row>
    <row r="5" spans="1:3" x14ac:dyDescent="0.2">
      <c r="A5" t="s">
        <v>398</v>
      </c>
      <c r="B5">
        <f t="shared" si="0"/>
        <v>0.125</v>
      </c>
    </row>
    <row r="6" spans="1:3" x14ac:dyDescent="0.2">
      <c r="A6" t="s">
        <v>260</v>
      </c>
      <c r="B6">
        <f t="shared" si="0"/>
        <v>0.125</v>
      </c>
    </row>
    <row r="7" spans="1:3" x14ac:dyDescent="0.2">
      <c r="A7" t="s">
        <v>255</v>
      </c>
      <c r="B7">
        <f t="shared" si="0"/>
        <v>0.125</v>
      </c>
    </row>
    <row r="8" spans="1:3" x14ac:dyDescent="0.2">
      <c r="A8" t="s">
        <v>254</v>
      </c>
      <c r="B8">
        <f t="shared" si="0"/>
        <v>0.125</v>
      </c>
    </row>
    <row r="9" spans="1:3" x14ac:dyDescent="0.2">
      <c r="A9" t="s">
        <v>258</v>
      </c>
      <c r="B9">
        <f t="shared" si="0"/>
        <v>0.125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AF43-07BE-414D-9069-3546DCBBAD29}">
  <dimension ref="A1:C8"/>
  <sheetViews>
    <sheetView zoomScale="171" zoomScaleNormal="171" workbookViewId="0">
      <selection activeCell="I12" sqref="I12"/>
    </sheetView>
  </sheetViews>
  <sheetFormatPr baseColWidth="10" defaultRowHeight="16" x14ac:dyDescent="0.2"/>
  <cols>
    <col min="1" max="1" width="16" customWidth="1"/>
  </cols>
  <sheetData>
    <row r="1" spans="1:3" x14ac:dyDescent="0.2">
      <c r="A1" s="5" t="s">
        <v>321</v>
      </c>
      <c r="B1" s="5" t="s">
        <v>236</v>
      </c>
      <c r="C1" s="5" t="s">
        <v>237</v>
      </c>
    </row>
    <row r="2" spans="1:3" x14ac:dyDescent="0.2">
      <c r="A2" t="s">
        <v>77</v>
      </c>
      <c r="B2">
        <f>1/7</f>
        <v>0.14285714285714285</v>
      </c>
    </row>
    <row r="3" spans="1:3" x14ac:dyDescent="0.2">
      <c r="A3" t="s">
        <v>90</v>
      </c>
      <c r="B3">
        <f t="shared" ref="B3:B8" si="0">1/7</f>
        <v>0.14285714285714285</v>
      </c>
    </row>
    <row r="4" spans="1:3" x14ac:dyDescent="0.2">
      <c r="A4" t="s">
        <v>95</v>
      </c>
      <c r="B4">
        <f t="shared" si="0"/>
        <v>0.14285714285714285</v>
      </c>
    </row>
    <row r="5" spans="1:3" x14ac:dyDescent="0.2">
      <c r="A5" t="s">
        <v>105</v>
      </c>
      <c r="B5">
        <f t="shared" si="0"/>
        <v>0.14285714285714285</v>
      </c>
    </row>
    <row r="6" spans="1:3" x14ac:dyDescent="0.2">
      <c r="A6" t="s">
        <v>136</v>
      </c>
      <c r="B6">
        <f t="shared" si="0"/>
        <v>0.14285714285714285</v>
      </c>
    </row>
    <row r="7" spans="1:3" x14ac:dyDescent="0.2">
      <c r="A7" t="s">
        <v>124</v>
      </c>
      <c r="B7">
        <f t="shared" si="0"/>
        <v>0.14285714285714285</v>
      </c>
    </row>
    <row r="8" spans="1:3" x14ac:dyDescent="0.2">
      <c r="A8" t="s">
        <v>96</v>
      </c>
      <c r="B8">
        <f t="shared" si="0"/>
        <v>0.14285714285714285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806A-C9D7-1448-A7C2-527E5E12330A}">
  <dimension ref="A1:C12"/>
  <sheetViews>
    <sheetView zoomScale="140" zoomScaleNormal="140" workbookViewId="0">
      <selection activeCell="A8" sqref="A8"/>
    </sheetView>
  </sheetViews>
  <sheetFormatPr baseColWidth="10" defaultRowHeight="16" x14ac:dyDescent="0.2"/>
  <cols>
    <col min="1" max="1" width="13.83203125" customWidth="1"/>
  </cols>
  <sheetData>
    <row r="1" spans="1:3" x14ac:dyDescent="0.2">
      <c r="A1" s="5" t="s">
        <v>321</v>
      </c>
      <c r="B1" s="5" t="s">
        <v>236</v>
      </c>
      <c r="C1" s="5" t="s">
        <v>237</v>
      </c>
    </row>
    <row r="2" spans="1:3" x14ac:dyDescent="0.2">
      <c r="A2" t="s">
        <v>139</v>
      </c>
      <c r="B2">
        <f>1/11</f>
        <v>9.0909090909090912E-2</v>
      </c>
    </row>
    <row r="3" spans="1:3" ht="17" x14ac:dyDescent="0.2">
      <c r="A3" s="24" t="s">
        <v>154</v>
      </c>
      <c r="B3">
        <f t="shared" ref="B3:B12" si="0">1/11</f>
        <v>9.0909090909090912E-2</v>
      </c>
    </row>
    <row r="4" spans="1:3" ht="17" x14ac:dyDescent="0.2">
      <c r="A4" s="24" t="s">
        <v>155</v>
      </c>
      <c r="B4">
        <f t="shared" si="0"/>
        <v>9.0909090909090912E-2</v>
      </c>
    </row>
    <row r="5" spans="1:3" ht="17" x14ac:dyDescent="0.2">
      <c r="A5" s="24" t="s">
        <v>157</v>
      </c>
      <c r="B5">
        <f t="shared" si="0"/>
        <v>9.0909090909090912E-2</v>
      </c>
    </row>
    <row r="6" spans="1:3" ht="17" x14ac:dyDescent="0.2">
      <c r="A6" s="24" t="s">
        <v>162</v>
      </c>
      <c r="B6">
        <f t="shared" si="0"/>
        <v>9.0909090909090912E-2</v>
      </c>
    </row>
    <row r="7" spans="1:3" ht="17" x14ac:dyDescent="0.2">
      <c r="A7" s="32" t="s">
        <v>148</v>
      </c>
      <c r="B7">
        <f t="shared" si="0"/>
        <v>9.0909090909090912E-2</v>
      </c>
    </row>
    <row r="8" spans="1:3" ht="17" x14ac:dyDescent="0.2">
      <c r="A8" s="32" t="s">
        <v>396</v>
      </c>
      <c r="B8">
        <f t="shared" si="0"/>
        <v>9.0909090909090912E-2</v>
      </c>
    </row>
    <row r="9" spans="1:3" ht="17" x14ac:dyDescent="0.2">
      <c r="A9" s="32" t="s">
        <v>141</v>
      </c>
      <c r="B9">
        <f t="shared" si="0"/>
        <v>9.0909090909090912E-2</v>
      </c>
    </row>
    <row r="10" spans="1:3" ht="17" x14ac:dyDescent="0.2">
      <c r="A10" s="32" t="s">
        <v>397</v>
      </c>
      <c r="B10">
        <f t="shared" si="0"/>
        <v>9.0909090909090912E-2</v>
      </c>
    </row>
    <row r="11" spans="1:3" ht="17" x14ac:dyDescent="0.2">
      <c r="A11" s="32" t="s">
        <v>169</v>
      </c>
      <c r="B11">
        <f t="shared" si="0"/>
        <v>9.0909090909090912E-2</v>
      </c>
    </row>
    <row r="12" spans="1:3" ht="17" x14ac:dyDescent="0.2">
      <c r="A12" s="32" t="s">
        <v>170</v>
      </c>
      <c r="B12">
        <f t="shared" si="0"/>
        <v>9.0909090909090912E-2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EBCC-0D3E-F347-A260-D0A8387B2156}">
  <dimension ref="A1:C7"/>
  <sheetViews>
    <sheetView zoomScale="214" zoomScaleNormal="214" workbookViewId="0">
      <selection activeCell="B3" sqref="B3:B6"/>
    </sheetView>
  </sheetViews>
  <sheetFormatPr baseColWidth="10" defaultRowHeight="16" x14ac:dyDescent="0.2"/>
  <cols>
    <col min="1" max="1" width="15.83203125" customWidth="1"/>
  </cols>
  <sheetData>
    <row r="1" spans="1:3" x14ac:dyDescent="0.2">
      <c r="A1" s="5" t="s">
        <v>321</v>
      </c>
      <c r="B1" s="5" t="s">
        <v>236</v>
      </c>
      <c r="C1" s="5" t="s">
        <v>237</v>
      </c>
    </row>
    <row r="2" spans="1:3" x14ac:dyDescent="0.2">
      <c r="A2" t="s">
        <v>181</v>
      </c>
      <c r="B2">
        <f>1/5</f>
        <v>0.2</v>
      </c>
    </row>
    <row r="3" spans="1:3" x14ac:dyDescent="0.2">
      <c r="A3" s="12" t="s">
        <v>189</v>
      </c>
      <c r="B3">
        <f t="shared" ref="B3:B6" si="0">1/5</f>
        <v>0.2</v>
      </c>
    </row>
    <row r="4" spans="1:3" x14ac:dyDescent="0.2">
      <c r="A4" s="12" t="s">
        <v>190</v>
      </c>
      <c r="B4">
        <f t="shared" si="0"/>
        <v>0.2</v>
      </c>
    </row>
    <row r="5" spans="1:3" x14ac:dyDescent="0.2">
      <c r="A5" t="s">
        <v>200</v>
      </c>
      <c r="B5">
        <f t="shared" si="0"/>
        <v>0.2</v>
      </c>
    </row>
    <row r="6" spans="1:3" x14ac:dyDescent="0.2">
      <c r="A6" s="12" t="s">
        <v>201</v>
      </c>
      <c r="B6">
        <f t="shared" si="0"/>
        <v>0.2</v>
      </c>
    </row>
    <row r="7" spans="1:3" x14ac:dyDescent="0.2">
      <c r="A7" s="12"/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456D-DEAC-CB41-9C5D-8CEC7275EDAC}">
  <dimension ref="A1:D53"/>
  <sheetViews>
    <sheetView zoomScale="190" zoomScaleNormal="190" workbookViewId="0">
      <selection activeCell="B45" sqref="B45:B46"/>
    </sheetView>
  </sheetViews>
  <sheetFormatPr baseColWidth="10" defaultRowHeight="16" x14ac:dyDescent="0.2"/>
  <sheetData>
    <row r="1" spans="1:4" x14ac:dyDescent="0.2">
      <c r="A1" s="5" t="s">
        <v>225</v>
      </c>
      <c r="B1" s="5" t="s">
        <v>224</v>
      </c>
      <c r="C1" s="5" t="s">
        <v>223</v>
      </c>
      <c r="D1" s="5" t="s">
        <v>222</v>
      </c>
    </row>
    <row r="2" spans="1:4" x14ac:dyDescent="0.2">
      <c r="A2" s="3" t="s">
        <v>2</v>
      </c>
      <c r="B2">
        <v>93.100000000000009</v>
      </c>
      <c r="C2" s="1" t="s">
        <v>235</v>
      </c>
      <c r="D2">
        <f t="shared" ref="D2:D47" si="0">1/7</f>
        <v>0.14285714285714285</v>
      </c>
    </row>
    <row r="3" spans="1:4" x14ac:dyDescent="0.2">
      <c r="A3" s="4" t="s">
        <v>229</v>
      </c>
      <c r="B3">
        <v>3.4000000000000004</v>
      </c>
      <c r="C3" s="1" t="s">
        <v>235</v>
      </c>
      <c r="D3">
        <f t="shared" si="0"/>
        <v>0.14285714285714285</v>
      </c>
    </row>
    <row r="4" spans="1:4" x14ac:dyDescent="0.2">
      <c r="A4" s="3" t="s">
        <v>1</v>
      </c>
      <c r="B4">
        <v>2.0999999999999996</v>
      </c>
      <c r="C4" s="1" t="s">
        <v>235</v>
      </c>
      <c r="D4">
        <f t="shared" si="0"/>
        <v>0.14285714285714285</v>
      </c>
    </row>
    <row r="5" spans="1:4" x14ac:dyDescent="0.2">
      <c r="A5" s="4" t="s">
        <v>4</v>
      </c>
      <c r="B5">
        <v>0.67500000000000004</v>
      </c>
      <c r="C5" s="1" t="s">
        <v>235</v>
      </c>
      <c r="D5">
        <f t="shared" si="0"/>
        <v>0.14285714285714285</v>
      </c>
    </row>
    <row r="6" spans="1:4" x14ac:dyDescent="0.2">
      <c r="A6" s="3" t="s">
        <v>3</v>
      </c>
      <c r="B6">
        <v>0.3</v>
      </c>
      <c r="C6" s="1" t="s">
        <v>235</v>
      </c>
      <c r="D6">
        <f t="shared" si="0"/>
        <v>0.14285714285714285</v>
      </c>
    </row>
    <row r="7" spans="1:4" x14ac:dyDescent="0.2">
      <c r="A7" s="4" t="s">
        <v>1</v>
      </c>
      <c r="B7">
        <v>0.1</v>
      </c>
      <c r="C7" s="1" t="s">
        <v>235</v>
      </c>
      <c r="D7">
        <f t="shared" si="0"/>
        <v>0.14285714285714285</v>
      </c>
    </row>
    <row r="8" spans="1:4" x14ac:dyDescent="0.2">
      <c r="A8" s="3" t="s">
        <v>227</v>
      </c>
      <c r="B8">
        <v>0.05</v>
      </c>
      <c r="C8" s="1" t="s">
        <v>235</v>
      </c>
      <c r="D8">
        <f t="shared" si="0"/>
        <v>0.14285714285714285</v>
      </c>
    </row>
    <row r="9" spans="1:4" x14ac:dyDescent="0.2">
      <c r="A9" s="4" t="s">
        <v>6</v>
      </c>
      <c r="B9">
        <v>0.27500000000000002</v>
      </c>
      <c r="C9" s="1" t="s">
        <v>235</v>
      </c>
      <c r="D9">
        <f t="shared" si="0"/>
        <v>0.14285714285714285</v>
      </c>
    </row>
    <row r="10" spans="1:4" x14ac:dyDescent="0.2">
      <c r="A10" s="3" t="s">
        <v>229</v>
      </c>
      <c r="B10">
        <v>3.5249999999999999</v>
      </c>
      <c r="C10" s="1" t="s">
        <v>234</v>
      </c>
      <c r="D10">
        <f t="shared" si="0"/>
        <v>0.14285714285714285</v>
      </c>
    </row>
    <row r="11" spans="1:4" x14ac:dyDescent="0.2">
      <c r="A11" s="4" t="s">
        <v>1</v>
      </c>
      <c r="B11">
        <v>2.2000000000000002</v>
      </c>
      <c r="C11" s="1" t="s">
        <v>234</v>
      </c>
      <c r="D11">
        <f t="shared" si="0"/>
        <v>0.14285714285714285</v>
      </c>
    </row>
    <row r="12" spans="1:4" x14ac:dyDescent="0.2">
      <c r="A12" s="3" t="s">
        <v>4</v>
      </c>
      <c r="B12">
        <v>0.67500000000000004</v>
      </c>
      <c r="C12" s="1" t="s">
        <v>234</v>
      </c>
      <c r="D12">
        <f t="shared" si="0"/>
        <v>0.14285714285714285</v>
      </c>
    </row>
    <row r="13" spans="1:4" x14ac:dyDescent="0.2">
      <c r="A13" s="4" t="s">
        <v>3</v>
      </c>
      <c r="B13">
        <v>0.2</v>
      </c>
      <c r="C13" s="1" t="s">
        <v>234</v>
      </c>
      <c r="D13">
        <f t="shared" si="0"/>
        <v>0.14285714285714285</v>
      </c>
    </row>
    <row r="14" spans="1:4" x14ac:dyDescent="0.2">
      <c r="A14" s="3" t="s">
        <v>1</v>
      </c>
      <c r="B14">
        <v>0.115</v>
      </c>
      <c r="C14" s="1" t="s">
        <v>234</v>
      </c>
      <c r="D14">
        <f t="shared" si="0"/>
        <v>0.14285714285714285</v>
      </c>
    </row>
    <row r="15" spans="1:4" x14ac:dyDescent="0.2">
      <c r="A15" s="4" t="s">
        <v>227</v>
      </c>
      <c r="B15">
        <v>5.5000000000000007E-2</v>
      </c>
      <c r="C15" s="1" t="s">
        <v>234</v>
      </c>
      <c r="D15">
        <f t="shared" si="0"/>
        <v>0.14285714285714285</v>
      </c>
    </row>
    <row r="16" spans="1:4" x14ac:dyDescent="0.2">
      <c r="A16" s="3" t="s">
        <v>6</v>
      </c>
      <c r="B16">
        <v>0.2</v>
      </c>
      <c r="C16" s="1" t="s">
        <v>234</v>
      </c>
      <c r="D16">
        <f t="shared" si="0"/>
        <v>0.14285714285714285</v>
      </c>
    </row>
    <row r="17" spans="1:4" x14ac:dyDescent="0.2">
      <c r="A17" s="4" t="s">
        <v>2</v>
      </c>
      <c r="B17">
        <v>93.029999999999987</v>
      </c>
      <c r="C17" s="1" t="s">
        <v>234</v>
      </c>
      <c r="D17">
        <f t="shared" si="0"/>
        <v>0.14285714285714285</v>
      </c>
    </row>
    <row r="18" spans="1:4" x14ac:dyDescent="0.2">
      <c r="A18" s="1" t="s">
        <v>229</v>
      </c>
      <c r="B18">
        <v>3.8</v>
      </c>
      <c r="C18" s="1" t="s">
        <v>233</v>
      </c>
      <c r="D18">
        <f t="shared" si="0"/>
        <v>0.14285714285714285</v>
      </c>
    </row>
    <row r="19" spans="1:4" x14ac:dyDescent="0.2">
      <c r="A19" s="2" t="s">
        <v>2</v>
      </c>
      <c r="B19">
        <v>93.1</v>
      </c>
      <c r="C19" s="1" t="s">
        <v>233</v>
      </c>
      <c r="D19">
        <f t="shared" si="0"/>
        <v>0.14285714285714285</v>
      </c>
    </row>
    <row r="20" spans="1:4" x14ac:dyDescent="0.2">
      <c r="A20" s="1" t="s">
        <v>4</v>
      </c>
      <c r="B20">
        <v>0.6</v>
      </c>
      <c r="C20" s="1" t="s">
        <v>233</v>
      </c>
      <c r="D20">
        <f t="shared" si="0"/>
        <v>0.14285714285714285</v>
      </c>
    </row>
    <row r="21" spans="1:4" x14ac:dyDescent="0.2">
      <c r="A21" s="2" t="s">
        <v>227</v>
      </c>
      <c r="B21">
        <v>6.1704902043339781E-5</v>
      </c>
      <c r="C21" s="1" t="s">
        <v>233</v>
      </c>
      <c r="D21">
        <f t="shared" si="0"/>
        <v>0.14285714285714285</v>
      </c>
    </row>
    <row r="22" spans="1:4" x14ac:dyDescent="0.2">
      <c r="A22" s="1" t="s">
        <v>228</v>
      </c>
      <c r="B22">
        <v>6.1704902043339781E-5</v>
      </c>
      <c r="C22" s="1" t="s">
        <v>233</v>
      </c>
      <c r="D22">
        <f t="shared" si="0"/>
        <v>0.14285714285714285</v>
      </c>
    </row>
    <row r="23" spans="1:4" x14ac:dyDescent="0.2">
      <c r="A23" s="2" t="s">
        <v>1</v>
      </c>
      <c r="B23">
        <v>2.5</v>
      </c>
      <c r="C23" s="1" t="s">
        <v>233</v>
      </c>
      <c r="D23">
        <f t="shared" si="0"/>
        <v>0.14285714285714285</v>
      </c>
    </row>
    <row r="24" spans="1:4" x14ac:dyDescent="0.2">
      <c r="A24" s="1" t="s">
        <v>229</v>
      </c>
      <c r="B24">
        <v>3.35</v>
      </c>
      <c r="C24" s="1" t="s">
        <v>232</v>
      </c>
      <c r="D24">
        <f t="shared" si="0"/>
        <v>0.14285714285714285</v>
      </c>
    </row>
    <row r="25" spans="1:4" x14ac:dyDescent="0.2">
      <c r="A25" s="2" t="s">
        <v>1</v>
      </c>
      <c r="B25">
        <v>2.1</v>
      </c>
      <c r="C25" s="1" t="s">
        <v>232</v>
      </c>
      <c r="D25">
        <f t="shared" si="0"/>
        <v>0.14285714285714285</v>
      </c>
    </row>
    <row r="26" spans="1:4" x14ac:dyDescent="0.2">
      <c r="A26" s="1" t="s">
        <v>4</v>
      </c>
      <c r="B26">
        <v>0.7</v>
      </c>
      <c r="C26" s="1" t="s">
        <v>232</v>
      </c>
      <c r="D26">
        <f t="shared" si="0"/>
        <v>0.14285714285714285</v>
      </c>
    </row>
    <row r="27" spans="1:4" x14ac:dyDescent="0.2">
      <c r="A27" s="2" t="s">
        <v>227</v>
      </c>
      <c r="B27">
        <v>0.1</v>
      </c>
      <c r="C27" s="1" t="s">
        <v>232</v>
      </c>
      <c r="D27">
        <f t="shared" si="0"/>
        <v>0.14285714285714285</v>
      </c>
    </row>
    <row r="28" spans="1:4" x14ac:dyDescent="0.2">
      <c r="A28" s="1" t="s">
        <v>228</v>
      </c>
      <c r="B28">
        <v>0.1</v>
      </c>
      <c r="C28" s="1" t="s">
        <v>232</v>
      </c>
      <c r="D28">
        <f t="shared" si="0"/>
        <v>0.14285714285714285</v>
      </c>
    </row>
    <row r="29" spans="1:4" x14ac:dyDescent="0.2">
      <c r="A29" s="2" t="s">
        <v>2</v>
      </c>
      <c r="B29">
        <v>93.65000000000002</v>
      </c>
      <c r="C29" s="1" t="s">
        <v>232</v>
      </c>
      <c r="D29">
        <f t="shared" si="0"/>
        <v>0.14285714285714285</v>
      </c>
    </row>
    <row r="30" spans="1:4" x14ac:dyDescent="0.2">
      <c r="A30" s="1" t="s">
        <v>229</v>
      </c>
      <c r="B30">
        <v>3.125</v>
      </c>
      <c r="C30" s="1" t="s">
        <v>231</v>
      </c>
      <c r="D30">
        <f t="shared" si="0"/>
        <v>0.14285714285714285</v>
      </c>
    </row>
    <row r="31" spans="1:4" x14ac:dyDescent="0.2">
      <c r="A31" s="2" t="s">
        <v>1</v>
      </c>
      <c r="B31">
        <v>1.9750000000000001</v>
      </c>
      <c r="C31" s="1" t="s">
        <v>231</v>
      </c>
      <c r="D31">
        <f t="shared" si="0"/>
        <v>0.14285714285714285</v>
      </c>
    </row>
    <row r="32" spans="1:4" x14ac:dyDescent="0.2">
      <c r="A32" s="1" t="s">
        <v>4</v>
      </c>
      <c r="B32">
        <v>0.55000000000000004</v>
      </c>
      <c r="C32" s="1" t="s">
        <v>231</v>
      </c>
      <c r="D32">
        <f t="shared" si="0"/>
        <v>0.14285714285714285</v>
      </c>
    </row>
    <row r="33" spans="1:4" x14ac:dyDescent="0.2">
      <c r="A33" s="2" t="s">
        <v>228</v>
      </c>
      <c r="B33">
        <v>0.06</v>
      </c>
      <c r="C33" s="1" t="s">
        <v>231</v>
      </c>
      <c r="D33">
        <f t="shared" si="0"/>
        <v>0.14285714285714285</v>
      </c>
    </row>
    <row r="34" spans="1:4" x14ac:dyDescent="0.2">
      <c r="A34" s="1" t="s">
        <v>227</v>
      </c>
      <c r="B34">
        <v>0.125</v>
      </c>
      <c r="C34" s="1" t="s">
        <v>231</v>
      </c>
      <c r="D34">
        <f t="shared" si="0"/>
        <v>0.14285714285714285</v>
      </c>
    </row>
    <row r="35" spans="1:4" x14ac:dyDescent="0.2">
      <c r="A35" s="2" t="s">
        <v>2</v>
      </c>
      <c r="B35">
        <v>94.165000000000006</v>
      </c>
      <c r="C35" s="1" t="s">
        <v>231</v>
      </c>
      <c r="D35">
        <f t="shared" si="0"/>
        <v>0.14285714285714285</v>
      </c>
    </row>
    <row r="36" spans="1:4" x14ac:dyDescent="0.2">
      <c r="A36" s="1" t="s">
        <v>229</v>
      </c>
      <c r="B36">
        <v>3.625</v>
      </c>
      <c r="C36" s="3" t="s">
        <v>230</v>
      </c>
      <c r="D36">
        <f t="shared" si="0"/>
        <v>0.14285714285714285</v>
      </c>
    </row>
    <row r="37" spans="1:4" x14ac:dyDescent="0.2">
      <c r="A37" s="2" t="s">
        <v>1</v>
      </c>
      <c r="B37">
        <v>2.7</v>
      </c>
      <c r="C37" s="3" t="s">
        <v>230</v>
      </c>
      <c r="D37">
        <f t="shared" si="0"/>
        <v>0.14285714285714285</v>
      </c>
    </row>
    <row r="38" spans="1:4" x14ac:dyDescent="0.2">
      <c r="A38" s="1" t="s">
        <v>4</v>
      </c>
      <c r="B38">
        <v>0.15000000000000002</v>
      </c>
      <c r="C38" s="3" t="s">
        <v>230</v>
      </c>
      <c r="D38">
        <f t="shared" si="0"/>
        <v>0.14285714285714285</v>
      </c>
    </row>
    <row r="39" spans="1:4" x14ac:dyDescent="0.2">
      <c r="A39" s="2" t="s">
        <v>228</v>
      </c>
      <c r="B39">
        <v>0.01</v>
      </c>
      <c r="C39" s="3" t="s">
        <v>230</v>
      </c>
      <c r="D39">
        <f t="shared" si="0"/>
        <v>0.14285714285714285</v>
      </c>
    </row>
    <row r="40" spans="1:4" x14ac:dyDescent="0.2">
      <c r="A40" s="1" t="s">
        <v>227</v>
      </c>
      <c r="B40">
        <v>5.0000000000000001E-3</v>
      </c>
      <c r="C40" s="3" t="s">
        <v>230</v>
      </c>
      <c r="D40">
        <f t="shared" si="0"/>
        <v>0.14285714285714285</v>
      </c>
    </row>
    <row r="41" spans="1:4" x14ac:dyDescent="0.2">
      <c r="A41" s="2" t="s">
        <v>2</v>
      </c>
      <c r="B41">
        <v>93.509999999999991</v>
      </c>
      <c r="C41" s="3" t="s">
        <v>230</v>
      </c>
      <c r="D41">
        <f t="shared" si="0"/>
        <v>0.14285714285714285</v>
      </c>
    </row>
    <row r="42" spans="1:4" x14ac:dyDescent="0.2">
      <c r="A42" s="1" t="s">
        <v>229</v>
      </c>
      <c r="B42">
        <v>3.625</v>
      </c>
      <c r="C42" s="3" t="s">
        <v>226</v>
      </c>
      <c r="D42">
        <f t="shared" si="0"/>
        <v>0.14285714285714285</v>
      </c>
    </row>
    <row r="43" spans="1:4" x14ac:dyDescent="0.2">
      <c r="A43" s="2" t="s">
        <v>1</v>
      </c>
      <c r="B43">
        <v>2.7</v>
      </c>
      <c r="C43" s="3" t="s">
        <v>226</v>
      </c>
      <c r="D43">
        <f t="shared" si="0"/>
        <v>0.14285714285714285</v>
      </c>
    </row>
    <row r="44" spans="1:4" x14ac:dyDescent="0.2">
      <c r="A44" s="1" t="s">
        <v>4</v>
      </c>
      <c r="B44">
        <v>0.2</v>
      </c>
      <c r="C44" s="3" t="s">
        <v>226</v>
      </c>
      <c r="D44">
        <f t="shared" si="0"/>
        <v>0.14285714285714285</v>
      </c>
    </row>
    <row r="45" spans="1:4" x14ac:dyDescent="0.2">
      <c r="A45" s="2" t="s">
        <v>228</v>
      </c>
      <c r="B45">
        <v>0.01</v>
      </c>
      <c r="C45" s="3" t="s">
        <v>226</v>
      </c>
      <c r="D45">
        <f t="shared" si="0"/>
        <v>0.14285714285714285</v>
      </c>
    </row>
    <row r="46" spans="1:4" x14ac:dyDescent="0.2">
      <c r="A46" s="1" t="s">
        <v>227</v>
      </c>
      <c r="B46">
        <v>0.05</v>
      </c>
      <c r="C46" s="3" t="s">
        <v>226</v>
      </c>
      <c r="D46">
        <f t="shared" si="0"/>
        <v>0.14285714285714285</v>
      </c>
    </row>
    <row r="47" spans="1:4" x14ac:dyDescent="0.2">
      <c r="A47" s="2" t="s">
        <v>2</v>
      </c>
      <c r="B47">
        <v>93.414999999999992</v>
      </c>
      <c r="C47" s="3" t="s">
        <v>226</v>
      </c>
      <c r="D47">
        <f t="shared" si="0"/>
        <v>0.14285714285714285</v>
      </c>
    </row>
    <row r="48" spans="1:4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704C-A1CB-C84D-91D5-40F960BC3AE6}">
  <dimension ref="A1:I15"/>
  <sheetViews>
    <sheetView zoomScale="186" zoomScaleNormal="186" workbookViewId="0"/>
  </sheetViews>
  <sheetFormatPr baseColWidth="10" defaultRowHeight="16" x14ac:dyDescent="0.2"/>
  <sheetData>
    <row r="1" spans="1:9" x14ac:dyDescent="0.2">
      <c r="A1" t="s">
        <v>321</v>
      </c>
      <c r="B1" t="s">
        <v>320</v>
      </c>
      <c r="C1" s="4" t="s">
        <v>229</v>
      </c>
      <c r="D1" s="3" t="s">
        <v>1</v>
      </c>
      <c r="E1" s="3" t="s">
        <v>4</v>
      </c>
      <c r="F1" s="3" t="s">
        <v>3</v>
      </c>
      <c r="G1" s="3" t="s">
        <v>227</v>
      </c>
      <c r="H1" s="3" t="s">
        <v>228</v>
      </c>
      <c r="I1" s="4" t="s">
        <v>6</v>
      </c>
    </row>
    <row r="2" spans="1:9" x14ac:dyDescent="0.2">
      <c r="A2" s="1" t="s">
        <v>235</v>
      </c>
      <c r="B2" t="s">
        <v>317</v>
      </c>
      <c r="C2">
        <v>3.4000000000000004</v>
      </c>
      <c r="D2">
        <v>2.0999999999999996</v>
      </c>
      <c r="E2">
        <v>0.67500000000000004</v>
      </c>
      <c r="F2">
        <v>0.3</v>
      </c>
      <c r="G2">
        <v>0.05</v>
      </c>
      <c r="H2">
        <v>0</v>
      </c>
      <c r="I2">
        <v>0.27500000000000002</v>
      </c>
    </row>
    <row r="3" spans="1:9" x14ac:dyDescent="0.2">
      <c r="A3" s="1" t="s">
        <v>235</v>
      </c>
      <c r="B3" t="s">
        <v>318</v>
      </c>
      <c r="C3">
        <v>0</v>
      </c>
      <c r="D3">
        <v>0.1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s="1" t="s">
        <v>234</v>
      </c>
      <c r="B4" t="s">
        <v>317</v>
      </c>
      <c r="C4">
        <v>3.5249999999999999</v>
      </c>
      <c r="D4">
        <v>2.2000000000000002</v>
      </c>
      <c r="E4">
        <v>0.67500000000000004</v>
      </c>
      <c r="F4">
        <v>0.2</v>
      </c>
      <c r="G4">
        <v>5.5000000000000007E-2</v>
      </c>
      <c r="H4">
        <v>0</v>
      </c>
      <c r="I4">
        <v>0.2</v>
      </c>
    </row>
    <row r="5" spans="1:9" x14ac:dyDescent="0.2">
      <c r="A5" s="1" t="s">
        <v>234</v>
      </c>
      <c r="B5" t="s">
        <v>318</v>
      </c>
      <c r="C5">
        <v>0</v>
      </c>
      <c r="D5">
        <v>0.115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 s="1" t="s">
        <v>233</v>
      </c>
      <c r="B6" t="s">
        <v>317</v>
      </c>
      <c r="C6">
        <v>3.8</v>
      </c>
      <c r="D6">
        <v>2.5</v>
      </c>
      <c r="E6">
        <v>0.6</v>
      </c>
      <c r="F6">
        <v>0</v>
      </c>
      <c r="G6">
        <v>6.1704902043339781E-5</v>
      </c>
      <c r="H6">
        <v>6.1704902043339781E-5</v>
      </c>
      <c r="I6">
        <v>0</v>
      </c>
    </row>
    <row r="7" spans="1:9" x14ac:dyDescent="0.2">
      <c r="A7" t="s">
        <v>233</v>
      </c>
      <c r="B7" t="s">
        <v>318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 s="1" t="s">
        <v>232</v>
      </c>
      <c r="B8" t="s">
        <v>317</v>
      </c>
      <c r="C8">
        <v>3.35</v>
      </c>
      <c r="D8">
        <v>2.1</v>
      </c>
      <c r="E8">
        <v>0.7</v>
      </c>
      <c r="F8">
        <v>0</v>
      </c>
      <c r="G8">
        <v>0.1</v>
      </c>
      <c r="H8">
        <v>0.1</v>
      </c>
      <c r="I8">
        <v>0</v>
      </c>
    </row>
    <row r="9" spans="1:9" x14ac:dyDescent="0.2">
      <c r="A9" s="1" t="s">
        <v>232</v>
      </c>
      <c r="B9" t="s">
        <v>318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s="1" t="s">
        <v>231</v>
      </c>
      <c r="B10" t="s">
        <v>317</v>
      </c>
      <c r="C10">
        <v>3.125</v>
      </c>
      <c r="D10">
        <v>1.9750000000000001</v>
      </c>
      <c r="E10">
        <v>0.55000000000000004</v>
      </c>
      <c r="F10">
        <v>0</v>
      </c>
      <c r="G10">
        <v>0.06</v>
      </c>
      <c r="H10">
        <v>0.125</v>
      </c>
      <c r="I10">
        <v>0</v>
      </c>
    </row>
    <row r="11" spans="1:9" x14ac:dyDescent="0.2">
      <c r="A11" s="1" t="s">
        <v>231</v>
      </c>
      <c r="B11" t="s">
        <v>318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s="3" t="s">
        <v>230</v>
      </c>
      <c r="B12" t="s">
        <v>317</v>
      </c>
      <c r="C12">
        <v>3.625</v>
      </c>
      <c r="D12">
        <v>2.7</v>
      </c>
      <c r="E12">
        <v>0.15000000000000002</v>
      </c>
      <c r="F12">
        <v>0</v>
      </c>
      <c r="G12">
        <v>0.01</v>
      </c>
      <c r="H12">
        <v>5.0000000000000001E-3</v>
      </c>
      <c r="I12">
        <v>0</v>
      </c>
    </row>
    <row r="13" spans="1:9" x14ac:dyDescent="0.2">
      <c r="A13" s="3" t="s">
        <v>230</v>
      </c>
      <c r="B13" t="s">
        <v>318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s="3" t="s">
        <v>226</v>
      </c>
      <c r="B14" t="s">
        <v>317</v>
      </c>
      <c r="C14">
        <v>3.625</v>
      </c>
      <c r="D14">
        <v>2.7</v>
      </c>
      <c r="E14">
        <v>0.2</v>
      </c>
      <c r="F14">
        <v>0</v>
      </c>
      <c r="G14">
        <v>0.01</v>
      </c>
      <c r="H14">
        <v>0.05</v>
      </c>
      <c r="I14">
        <v>0</v>
      </c>
    </row>
    <row r="15" spans="1:9" x14ac:dyDescent="0.2">
      <c r="A15" s="3" t="s">
        <v>226</v>
      </c>
      <c r="B15" t="s">
        <v>318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63A9-3EAA-C244-9143-3E89BD584AB4}">
  <dimension ref="A1:C8"/>
  <sheetViews>
    <sheetView workbookViewId="0">
      <selection sqref="A1:C3"/>
    </sheetView>
  </sheetViews>
  <sheetFormatPr baseColWidth="10" defaultRowHeight="16" x14ac:dyDescent="0.2"/>
  <cols>
    <col min="2" max="2" width="10.83203125" style="26"/>
  </cols>
  <sheetData>
    <row r="1" spans="1:3" x14ac:dyDescent="0.2">
      <c r="A1" s="5" t="s">
        <v>319</v>
      </c>
      <c r="B1" s="25" t="s">
        <v>236</v>
      </c>
      <c r="C1" s="5" t="s">
        <v>237</v>
      </c>
    </row>
    <row r="2" spans="1:3" x14ac:dyDescent="0.2">
      <c r="A2" s="1" t="s">
        <v>235</v>
      </c>
      <c r="B2" s="26">
        <f>1/7</f>
        <v>0.14285714285714285</v>
      </c>
    </row>
    <row r="3" spans="1:3" x14ac:dyDescent="0.2">
      <c r="A3" s="1" t="s">
        <v>234</v>
      </c>
      <c r="B3" s="26">
        <f t="shared" ref="B3:B8" si="0">1/7</f>
        <v>0.14285714285714285</v>
      </c>
    </row>
    <row r="4" spans="1:3" x14ac:dyDescent="0.2">
      <c r="A4" s="1" t="s">
        <v>233</v>
      </c>
      <c r="B4" s="26">
        <f t="shared" si="0"/>
        <v>0.14285714285714285</v>
      </c>
    </row>
    <row r="5" spans="1:3" x14ac:dyDescent="0.2">
      <c r="A5" s="1" t="s">
        <v>232</v>
      </c>
      <c r="B5" s="26">
        <f t="shared" si="0"/>
        <v>0.14285714285714285</v>
      </c>
    </row>
    <row r="6" spans="1:3" x14ac:dyDescent="0.2">
      <c r="A6" s="1" t="s">
        <v>231</v>
      </c>
      <c r="B6" s="26">
        <f t="shared" si="0"/>
        <v>0.14285714285714285</v>
      </c>
    </row>
    <row r="7" spans="1:3" x14ac:dyDescent="0.2">
      <c r="A7" s="3" t="s">
        <v>230</v>
      </c>
      <c r="B7" s="26">
        <f t="shared" si="0"/>
        <v>0.14285714285714285</v>
      </c>
    </row>
    <row r="8" spans="1:3" x14ac:dyDescent="0.2">
      <c r="A8" s="3" t="s">
        <v>226</v>
      </c>
      <c r="B8" s="26">
        <f t="shared" si="0"/>
        <v>0.14285714285714285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E26F-4630-B545-A6A5-774A224143BF}">
  <dimension ref="A1:H15"/>
  <sheetViews>
    <sheetView zoomScale="214" zoomScaleNormal="214" workbookViewId="0">
      <selection activeCell="C2" sqref="C2"/>
    </sheetView>
  </sheetViews>
  <sheetFormatPr baseColWidth="10" defaultRowHeight="16" x14ac:dyDescent="0.2"/>
  <sheetData>
    <row r="1" spans="1:8" x14ac:dyDescent="0.2">
      <c r="A1" t="s">
        <v>321</v>
      </c>
      <c r="B1" t="s">
        <v>320</v>
      </c>
      <c r="C1" s="4" t="s">
        <v>229</v>
      </c>
      <c r="D1" s="4" t="s">
        <v>4</v>
      </c>
      <c r="E1" s="3" t="s">
        <v>227</v>
      </c>
      <c r="F1" s="3" t="s">
        <v>228</v>
      </c>
      <c r="G1" s="3" t="s">
        <v>296</v>
      </c>
      <c r="H1" s="4" t="s">
        <v>3</v>
      </c>
    </row>
    <row r="2" spans="1:8" x14ac:dyDescent="0.2">
      <c r="A2" s="1" t="s">
        <v>322</v>
      </c>
      <c r="B2" t="s">
        <v>317</v>
      </c>
      <c r="C2">
        <v>0.1</v>
      </c>
      <c r="D2">
        <v>0.5</v>
      </c>
      <c r="E2">
        <v>0.04</v>
      </c>
      <c r="F2">
        <v>0.05</v>
      </c>
      <c r="G2">
        <v>0</v>
      </c>
      <c r="H2">
        <v>0</v>
      </c>
    </row>
    <row r="3" spans="1:8" x14ac:dyDescent="0.2">
      <c r="A3" s="1" t="s">
        <v>322</v>
      </c>
      <c r="B3" t="s">
        <v>318</v>
      </c>
      <c r="C3">
        <v>0</v>
      </c>
      <c r="D3">
        <v>0.3</v>
      </c>
      <c r="E3">
        <v>0</v>
      </c>
      <c r="F3">
        <v>0</v>
      </c>
      <c r="G3">
        <v>0</v>
      </c>
      <c r="H3">
        <v>0</v>
      </c>
    </row>
    <row r="4" spans="1:8" x14ac:dyDescent="0.2">
      <c r="A4" s="1" t="s">
        <v>323</v>
      </c>
      <c r="B4" t="s">
        <v>317</v>
      </c>
      <c r="C4">
        <v>0.13</v>
      </c>
      <c r="D4">
        <v>0.6</v>
      </c>
      <c r="E4">
        <v>0.04</v>
      </c>
      <c r="F4">
        <v>0.05</v>
      </c>
      <c r="G4">
        <v>0</v>
      </c>
      <c r="H4">
        <v>0</v>
      </c>
    </row>
    <row r="5" spans="1:8" x14ac:dyDescent="0.2">
      <c r="A5" s="1" t="s">
        <v>323</v>
      </c>
      <c r="B5" t="s">
        <v>318</v>
      </c>
      <c r="C5">
        <v>0.08</v>
      </c>
      <c r="D5">
        <v>0.3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324</v>
      </c>
      <c r="B6" t="s">
        <v>317</v>
      </c>
      <c r="C6">
        <v>0.18</v>
      </c>
      <c r="D6">
        <v>0.6</v>
      </c>
      <c r="E6">
        <v>0.04</v>
      </c>
      <c r="F6">
        <v>0.05</v>
      </c>
      <c r="G6">
        <v>0</v>
      </c>
      <c r="H6">
        <v>0</v>
      </c>
    </row>
    <row r="7" spans="1:8" x14ac:dyDescent="0.2">
      <c r="A7" t="s">
        <v>324</v>
      </c>
      <c r="B7" t="s">
        <v>318</v>
      </c>
      <c r="C7">
        <v>0.15</v>
      </c>
      <c r="D7">
        <v>0.3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325</v>
      </c>
      <c r="B8" t="s">
        <v>317</v>
      </c>
      <c r="C8">
        <v>0.2</v>
      </c>
      <c r="D8">
        <v>0.9</v>
      </c>
      <c r="E8">
        <v>0.04</v>
      </c>
      <c r="F8">
        <v>0.05</v>
      </c>
      <c r="G8">
        <v>0</v>
      </c>
      <c r="H8">
        <v>0</v>
      </c>
    </row>
    <row r="9" spans="1:8" x14ac:dyDescent="0.2">
      <c r="A9" t="s">
        <v>325</v>
      </c>
      <c r="B9" t="s">
        <v>318</v>
      </c>
      <c r="C9">
        <v>0.14000000000000001</v>
      </c>
      <c r="D9">
        <v>0.6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326</v>
      </c>
      <c r="B10" t="s">
        <v>317</v>
      </c>
      <c r="C10">
        <v>0.23</v>
      </c>
      <c r="D10">
        <v>0.6</v>
      </c>
      <c r="E10">
        <v>0.04</v>
      </c>
      <c r="F10">
        <v>0.05</v>
      </c>
      <c r="G10">
        <v>0</v>
      </c>
      <c r="H10">
        <v>0</v>
      </c>
    </row>
    <row r="11" spans="1:8" x14ac:dyDescent="0.2">
      <c r="A11" t="s">
        <v>326</v>
      </c>
      <c r="B11" t="s">
        <v>318</v>
      </c>
      <c r="C11">
        <v>0.17</v>
      </c>
      <c r="D11">
        <v>0.3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327</v>
      </c>
      <c r="B12" t="s">
        <v>317</v>
      </c>
      <c r="C12">
        <v>0.18</v>
      </c>
      <c r="D12">
        <v>1.5</v>
      </c>
      <c r="E12">
        <v>0.03</v>
      </c>
      <c r="F12">
        <v>0.03</v>
      </c>
      <c r="G12">
        <v>1.2E-2</v>
      </c>
      <c r="H12">
        <v>0.55000000000000004</v>
      </c>
    </row>
    <row r="13" spans="1:8" x14ac:dyDescent="0.2">
      <c r="A13" t="s">
        <v>327</v>
      </c>
      <c r="B13" t="s">
        <v>318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328</v>
      </c>
      <c r="B14" t="s">
        <v>317</v>
      </c>
      <c r="C14">
        <v>0.2</v>
      </c>
      <c r="D14">
        <v>1.6</v>
      </c>
      <c r="E14">
        <v>0.03</v>
      </c>
      <c r="F14">
        <v>0.03</v>
      </c>
      <c r="G14">
        <v>1.2E-2</v>
      </c>
      <c r="H14">
        <v>0.55000000000000004</v>
      </c>
    </row>
    <row r="15" spans="1:8" x14ac:dyDescent="0.2">
      <c r="A15" t="s">
        <v>328</v>
      </c>
      <c r="B15" t="s">
        <v>318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A2F2-0E65-8D45-83C3-921FF81D169F}">
  <dimension ref="A1:C8"/>
  <sheetViews>
    <sheetView workbookViewId="0">
      <selection sqref="A1:C8"/>
    </sheetView>
  </sheetViews>
  <sheetFormatPr baseColWidth="10" defaultRowHeight="16" x14ac:dyDescent="0.2"/>
  <sheetData>
    <row r="1" spans="1:3" x14ac:dyDescent="0.2">
      <c r="A1" s="5" t="s">
        <v>344</v>
      </c>
      <c r="B1" s="25" t="s">
        <v>236</v>
      </c>
      <c r="C1" s="5" t="s">
        <v>237</v>
      </c>
    </row>
    <row r="2" spans="1:3" x14ac:dyDescent="0.2">
      <c r="A2" s="1" t="s">
        <v>322</v>
      </c>
      <c r="B2" s="26">
        <f>1/7</f>
        <v>0.14285714285714285</v>
      </c>
    </row>
    <row r="3" spans="1:3" x14ac:dyDescent="0.2">
      <c r="A3" s="1" t="s">
        <v>323</v>
      </c>
      <c r="B3" s="26">
        <f t="shared" ref="B3:B8" si="0">1/7</f>
        <v>0.14285714285714285</v>
      </c>
    </row>
    <row r="4" spans="1:3" x14ac:dyDescent="0.2">
      <c r="A4" t="s">
        <v>324</v>
      </c>
      <c r="B4" s="26">
        <f t="shared" si="0"/>
        <v>0.14285714285714285</v>
      </c>
    </row>
    <row r="5" spans="1:3" x14ac:dyDescent="0.2">
      <c r="A5" t="s">
        <v>325</v>
      </c>
      <c r="B5" s="26">
        <f t="shared" si="0"/>
        <v>0.14285714285714285</v>
      </c>
    </row>
    <row r="6" spans="1:3" x14ac:dyDescent="0.2">
      <c r="A6" t="s">
        <v>326</v>
      </c>
      <c r="B6" s="26">
        <f t="shared" si="0"/>
        <v>0.14285714285714285</v>
      </c>
    </row>
    <row r="7" spans="1:3" x14ac:dyDescent="0.2">
      <c r="A7" t="s">
        <v>327</v>
      </c>
      <c r="B7" s="26">
        <f t="shared" si="0"/>
        <v>0.14285714285714285</v>
      </c>
    </row>
    <row r="8" spans="1:3" x14ac:dyDescent="0.2">
      <c r="A8" t="s">
        <v>328</v>
      </c>
      <c r="B8" s="26">
        <f t="shared" si="0"/>
        <v>0.14285714285714285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A4E1-E82E-5343-A8A8-9243F16CC3F2}">
  <dimension ref="A1:Q9"/>
  <sheetViews>
    <sheetView workbookViewId="0">
      <selection activeCell="E64" sqref="E64"/>
    </sheetView>
  </sheetViews>
  <sheetFormatPr baseColWidth="10" defaultRowHeight="16" x14ac:dyDescent="0.2"/>
  <cols>
    <col min="1" max="1" width="22.5" customWidth="1"/>
    <col min="2" max="2" width="21.6640625" customWidth="1"/>
    <col min="3" max="3" width="16.1640625" customWidth="1"/>
  </cols>
  <sheetData>
    <row r="1" spans="1:17" x14ac:dyDescent="0.2">
      <c r="A1" t="s">
        <v>321</v>
      </c>
      <c r="B1" t="s">
        <v>320</v>
      </c>
      <c r="C1" t="s">
        <v>229</v>
      </c>
      <c r="D1" t="s">
        <v>1</v>
      </c>
      <c r="E1" t="s">
        <v>4</v>
      </c>
      <c r="F1" t="s">
        <v>227</v>
      </c>
      <c r="G1" t="s">
        <v>228</v>
      </c>
      <c r="H1" t="s">
        <v>238</v>
      </c>
      <c r="I1" t="s">
        <v>342</v>
      </c>
      <c r="J1" t="s">
        <v>343</v>
      </c>
      <c r="K1" t="s">
        <v>329</v>
      </c>
      <c r="L1" t="s">
        <v>3</v>
      </c>
      <c r="M1" t="s">
        <v>9</v>
      </c>
      <c r="N1" t="s">
        <v>330</v>
      </c>
      <c r="O1" t="s">
        <v>11</v>
      </c>
      <c r="P1" t="s">
        <v>6</v>
      </c>
      <c r="Q1" t="s">
        <v>237</v>
      </c>
    </row>
    <row r="2" spans="1:17" x14ac:dyDescent="0.2">
      <c r="A2" t="s">
        <v>331</v>
      </c>
      <c r="B2" t="s">
        <v>334</v>
      </c>
      <c r="C2" s="28">
        <v>0.1</v>
      </c>
      <c r="D2" s="28">
        <v>0.5</v>
      </c>
      <c r="E2" s="28">
        <v>1.6</v>
      </c>
      <c r="F2" s="28">
        <v>2.5000000000000001E-2</v>
      </c>
      <c r="G2" s="28">
        <v>0.01</v>
      </c>
      <c r="H2" s="28">
        <v>1.4999999999999999E-2</v>
      </c>
      <c r="I2" s="28">
        <v>0</v>
      </c>
      <c r="J2" s="28">
        <v>0</v>
      </c>
      <c r="K2" s="28">
        <v>0</v>
      </c>
      <c r="L2" s="28">
        <v>0.2</v>
      </c>
      <c r="M2" s="28">
        <v>0.15</v>
      </c>
      <c r="N2" s="28">
        <v>0.1</v>
      </c>
      <c r="O2" s="28">
        <v>0</v>
      </c>
      <c r="P2" s="28">
        <v>0</v>
      </c>
      <c r="Q2" s="27" t="s">
        <v>335</v>
      </c>
    </row>
    <row r="3" spans="1:17" x14ac:dyDescent="0.2">
      <c r="A3" t="s">
        <v>332</v>
      </c>
      <c r="B3" t="s">
        <v>334</v>
      </c>
      <c r="C3" s="28">
        <v>0.23</v>
      </c>
      <c r="D3" s="28">
        <v>1</v>
      </c>
      <c r="E3" s="28">
        <v>2.7</v>
      </c>
      <c r="F3" s="28">
        <v>0.05</v>
      </c>
      <c r="G3" s="28">
        <v>0.01</v>
      </c>
      <c r="H3" s="28">
        <v>0.50749999999999995</v>
      </c>
      <c r="I3" s="28">
        <v>1</v>
      </c>
      <c r="J3" s="28">
        <v>0.15</v>
      </c>
      <c r="K3" s="28">
        <v>5.0000000000000001E-3</v>
      </c>
      <c r="L3" s="28">
        <v>0.2</v>
      </c>
      <c r="M3" s="28">
        <v>0</v>
      </c>
      <c r="N3" s="28">
        <v>0</v>
      </c>
      <c r="O3" s="28">
        <v>0</v>
      </c>
      <c r="P3" s="28">
        <v>0</v>
      </c>
      <c r="Q3" s="27" t="s">
        <v>335</v>
      </c>
    </row>
    <row r="4" spans="1:17" x14ac:dyDescent="0.2">
      <c r="A4" t="s">
        <v>333</v>
      </c>
      <c r="B4" t="s">
        <v>334</v>
      </c>
      <c r="C4" s="28">
        <v>0.23</v>
      </c>
      <c r="D4" s="28">
        <v>1</v>
      </c>
      <c r="E4" s="28">
        <v>2.9</v>
      </c>
      <c r="F4" s="28">
        <v>0.05</v>
      </c>
      <c r="G4" s="28">
        <v>0.01</v>
      </c>
      <c r="H4" s="28">
        <v>0.50749999999999995</v>
      </c>
      <c r="I4" s="28">
        <v>1</v>
      </c>
      <c r="J4" s="28">
        <v>0.15</v>
      </c>
      <c r="K4" s="28">
        <v>5.0000000000000001E-3</v>
      </c>
      <c r="L4" s="28">
        <v>0.2</v>
      </c>
      <c r="M4" s="28">
        <v>0</v>
      </c>
      <c r="N4" s="28">
        <v>0</v>
      </c>
      <c r="O4" s="28">
        <v>0</v>
      </c>
      <c r="P4" s="28">
        <v>0</v>
      </c>
      <c r="Q4" s="27" t="s">
        <v>335</v>
      </c>
    </row>
    <row r="5" spans="1:17" x14ac:dyDescent="0.2">
      <c r="A5" t="s">
        <v>336</v>
      </c>
      <c r="B5" t="s">
        <v>334</v>
      </c>
      <c r="C5" s="29">
        <v>0.24</v>
      </c>
      <c r="D5" s="29">
        <v>2</v>
      </c>
      <c r="E5" s="29">
        <v>2.2000000000000002</v>
      </c>
      <c r="F5" s="29">
        <v>0.08</v>
      </c>
      <c r="G5" s="29">
        <v>0.02</v>
      </c>
      <c r="H5" s="29">
        <v>1.01</v>
      </c>
      <c r="I5" s="29">
        <v>0.6</v>
      </c>
      <c r="J5" s="29">
        <v>0.2</v>
      </c>
      <c r="K5" s="29">
        <v>0.01</v>
      </c>
      <c r="L5" s="29">
        <v>0</v>
      </c>
      <c r="M5" s="29">
        <v>0</v>
      </c>
      <c r="N5" s="29">
        <v>0</v>
      </c>
      <c r="O5" s="29">
        <v>0.2</v>
      </c>
      <c r="P5" s="29">
        <v>0</v>
      </c>
      <c r="Q5" t="s">
        <v>341</v>
      </c>
    </row>
    <row r="6" spans="1:17" x14ac:dyDescent="0.2">
      <c r="A6" t="s">
        <v>337</v>
      </c>
      <c r="B6" t="s">
        <v>334</v>
      </c>
      <c r="C6" s="29">
        <v>0.12</v>
      </c>
      <c r="D6" s="29">
        <v>0.6</v>
      </c>
      <c r="E6" s="29">
        <v>1.8</v>
      </c>
      <c r="F6" s="29">
        <v>0.03</v>
      </c>
      <c r="G6" s="29">
        <v>0.03</v>
      </c>
      <c r="H6" s="29">
        <v>0.02</v>
      </c>
      <c r="I6" s="29">
        <v>0</v>
      </c>
      <c r="J6" s="29">
        <v>0</v>
      </c>
      <c r="K6" s="29">
        <v>0</v>
      </c>
      <c r="L6" s="29">
        <v>0.2</v>
      </c>
      <c r="M6" s="29">
        <v>0.15</v>
      </c>
      <c r="N6" s="29">
        <v>0.09</v>
      </c>
      <c r="O6" s="29">
        <v>0</v>
      </c>
      <c r="P6" s="29">
        <v>0</v>
      </c>
      <c r="Q6" t="s">
        <v>341</v>
      </c>
    </row>
    <row r="7" spans="1:17" x14ac:dyDescent="0.2">
      <c r="A7" t="s">
        <v>338</v>
      </c>
      <c r="B7" t="s">
        <v>334</v>
      </c>
      <c r="C7" s="29">
        <v>0.16</v>
      </c>
      <c r="D7" s="29">
        <v>0.4</v>
      </c>
      <c r="E7" s="29">
        <v>2.6</v>
      </c>
      <c r="F7" s="29">
        <v>0.02</v>
      </c>
      <c r="G7" s="29">
        <v>0.01</v>
      </c>
      <c r="H7" s="29">
        <v>0.51</v>
      </c>
      <c r="I7" s="29">
        <v>0.15</v>
      </c>
      <c r="J7" s="29">
        <v>0.1</v>
      </c>
      <c r="K7" s="29">
        <v>0.01</v>
      </c>
      <c r="L7" s="29">
        <v>0.2</v>
      </c>
      <c r="M7" s="29">
        <v>0</v>
      </c>
      <c r="N7" s="29">
        <v>0</v>
      </c>
      <c r="O7" s="29">
        <v>0</v>
      </c>
      <c r="P7" s="29">
        <v>0</v>
      </c>
      <c r="Q7" t="s">
        <v>341</v>
      </c>
    </row>
    <row r="8" spans="1:17" x14ac:dyDescent="0.2">
      <c r="A8" t="s">
        <v>339</v>
      </c>
      <c r="B8" t="s">
        <v>334</v>
      </c>
      <c r="C8" s="29">
        <v>0.15</v>
      </c>
      <c r="D8" s="29">
        <v>0.8</v>
      </c>
      <c r="E8" s="29">
        <v>2.9</v>
      </c>
      <c r="F8" s="29">
        <v>0.02</v>
      </c>
      <c r="G8" s="29">
        <v>0.01</v>
      </c>
      <c r="H8" s="29">
        <v>0.51</v>
      </c>
      <c r="I8" s="29">
        <v>1.4</v>
      </c>
      <c r="J8" s="29">
        <v>0.15</v>
      </c>
      <c r="K8" s="29">
        <v>0.01</v>
      </c>
      <c r="L8" s="29">
        <v>0.2</v>
      </c>
      <c r="M8" s="29">
        <v>0</v>
      </c>
      <c r="N8" s="29">
        <v>0</v>
      </c>
      <c r="O8" s="29">
        <v>0</v>
      </c>
      <c r="P8" s="29">
        <v>0</v>
      </c>
      <c r="Q8" t="s">
        <v>341</v>
      </c>
    </row>
    <row r="9" spans="1:17" x14ac:dyDescent="0.2">
      <c r="A9" t="s">
        <v>340</v>
      </c>
      <c r="B9" t="s">
        <v>334</v>
      </c>
      <c r="C9" s="29">
        <v>0.1</v>
      </c>
      <c r="D9" s="29">
        <v>0.6</v>
      </c>
      <c r="E9" s="29">
        <v>1.8</v>
      </c>
      <c r="F9" s="29">
        <v>0.03</v>
      </c>
      <c r="G9" s="29">
        <v>0.01</v>
      </c>
      <c r="H9" s="29">
        <v>0.06</v>
      </c>
      <c r="I9" s="29">
        <v>0</v>
      </c>
      <c r="J9" s="29">
        <v>0</v>
      </c>
      <c r="K9" s="29">
        <v>0.01</v>
      </c>
      <c r="L9" s="29">
        <v>0.2</v>
      </c>
      <c r="M9" s="29">
        <v>0.05</v>
      </c>
      <c r="N9" s="29">
        <v>0.1</v>
      </c>
      <c r="O9" s="29">
        <v>0</v>
      </c>
      <c r="P9" s="29">
        <v>0.2</v>
      </c>
      <c r="Q9" t="s">
        <v>341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344B-4E54-8149-B709-265281A2B574}">
  <dimension ref="A1:C9"/>
  <sheetViews>
    <sheetView workbookViewId="0">
      <selection sqref="A1:C2"/>
    </sheetView>
  </sheetViews>
  <sheetFormatPr baseColWidth="10" defaultRowHeight="16" x14ac:dyDescent="0.2"/>
  <cols>
    <col min="1" max="1" width="21.1640625" customWidth="1"/>
  </cols>
  <sheetData>
    <row r="1" spans="1:3" x14ac:dyDescent="0.2">
      <c r="A1" s="5" t="s">
        <v>345</v>
      </c>
      <c r="B1" s="25" t="s">
        <v>236</v>
      </c>
      <c r="C1" s="5" t="s">
        <v>237</v>
      </c>
    </row>
    <row r="2" spans="1:3" x14ac:dyDescent="0.2">
      <c r="A2" t="s">
        <v>331</v>
      </c>
      <c r="B2" s="26">
        <f>1/8</f>
        <v>0.125</v>
      </c>
    </row>
    <row r="3" spans="1:3" x14ac:dyDescent="0.2">
      <c r="A3" t="s">
        <v>332</v>
      </c>
      <c r="B3" s="26">
        <f t="shared" ref="B3:B9" si="0">1/8</f>
        <v>0.125</v>
      </c>
    </row>
    <row r="4" spans="1:3" x14ac:dyDescent="0.2">
      <c r="A4" t="s">
        <v>333</v>
      </c>
      <c r="B4" s="26">
        <f t="shared" si="0"/>
        <v>0.125</v>
      </c>
    </row>
    <row r="5" spans="1:3" x14ac:dyDescent="0.2">
      <c r="A5" t="s">
        <v>336</v>
      </c>
      <c r="B5" s="26">
        <f t="shared" si="0"/>
        <v>0.125</v>
      </c>
    </row>
    <row r="6" spans="1:3" x14ac:dyDescent="0.2">
      <c r="A6" t="s">
        <v>337</v>
      </c>
      <c r="B6" s="26">
        <f t="shared" si="0"/>
        <v>0.125</v>
      </c>
    </row>
    <row r="7" spans="1:3" x14ac:dyDescent="0.2">
      <c r="A7" t="s">
        <v>338</v>
      </c>
      <c r="B7" s="26">
        <f t="shared" si="0"/>
        <v>0.125</v>
      </c>
    </row>
    <row r="8" spans="1:3" x14ac:dyDescent="0.2">
      <c r="A8" t="s">
        <v>339</v>
      </c>
      <c r="B8" s="26">
        <f t="shared" si="0"/>
        <v>0.125</v>
      </c>
    </row>
    <row r="9" spans="1:3" x14ac:dyDescent="0.2">
      <c r="A9" t="s">
        <v>340</v>
      </c>
      <c r="B9" s="26">
        <f t="shared" si="0"/>
        <v>0.125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5EC9-E74F-1D4A-9D7A-9411C9DCFAB7}">
  <dimension ref="A1:Q9"/>
  <sheetViews>
    <sheetView workbookViewId="0">
      <selection sqref="A1:Q7"/>
    </sheetView>
  </sheetViews>
  <sheetFormatPr baseColWidth="10" defaultRowHeight="16" x14ac:dyDescent="0.2"/>
  <sheetData>
    <row r="1" spans="1:17" x14ac:dyDescent="0.2">
      <c r="A1" t="s">
        <v>321</v>
      </c>
      <c r="B1" t="s">
        <v>320</v>
      </c>
      <c r="C1" t="s">
        <v>229</v>
      </c>
      <c r="D1" t="s">
        <v>1</v>
      </c>
      <c r="E1" t="s">
        <v>4</v>
      </c>
      <c r="F1" t="s">
        <v>227</v>
      </c>
      <c r="G1" t="s">
        <v>228</v>
      </c>
      <c r="H1" t="s">
        <v>238</v>
      </c>
      <c r="I1" t="s">
        <v>342</v>
      </c>
      <c r="J1" t="s">
        <v>343</v>
      </c>
      <c r="K1" t="s">
        <v>329</v>
      </c>
      <c r="L1" t="s">
        <v>3</v>
      </c>
      <c r="M1" t="s">
        <v>9</v>
      </c>
      <c r="N1" t="s">
        <v>330</v>
      </c>
      <c r="O1" t="s">
        <v>11</v>
      </c>
      <c r="P1" t="s">
        <v>6</v>
      </c>
      <c r="Q1" t="s">
        <v>237</v>
      </c>
    </row>
    <row r="2" spans="1:17" x14ac:dyDescent="0.2">
      <c r="A2" t="s">
        <v>346</v>
      </c>
      <c r="B2" t="s">
        <v>334</v>
      </c>
      <c r="C2" s="28">
        <v>0.22500000000000001</v>
      </c>
      <c r="D2" s="28">
        <v>0.25</v>
      </c>
      <c r="E2" s="28">
        <v>1.175</v>
      </c>
      <c r="F2" s="28">
        <v>2.5000000000000001E-2</v>
      </c>
      <c r="G2" s="28">
        <v>5.0000000000000001E-3</v>
      </c>
      <c r="H2" s="28">
        <v>0</v>
      </c>
      <c r="I2" s="28">
        <v>0</v>
      </c>
      <c r="J2" s="28">
        <v>0</v>
      </c>
      <c r="K2" s="28">
        <v>3.5000000000000004E-5</v>
      </c>
      <c r="L2" s="28">
        <v>0</v>
      </c>
      <c r="M2" s="28">
        <v>0</v>
      </c>
      <c r="N2" s="28">
        <v>0</v>
      </c>
      <c r="O2" s="28">
        <v>0</v>
      </c>
      <c r="P2" s="28">
        <v>0.35</v>
      </c>
      <c r="Q2" t="s">
        <v>352</v>
      </c>
    </row>
    <row r="3" spans="1:17" x14ac:dyDescent="0.2">
      <c r="A3" t="s">
        <v>347</v>
      </c>
      <c r="B3" t="s">
        <v>334</v>
      </c>
      <c r="C3" s="28">
        <v>0.34</v>
      </c>
      <c r="D3" s="28">
        <v>0.25</v>
      </c>
      <c r="E3" s="28">
        <v>1.3</v>
      </c>
      <c r="F3" s="28">
        <v>2.5000000000000001E-2</v>
      </c>
      <c r="G3" s="28">
        <v>5.0000000000000001E-3</v>
      </c>
      <c r="H3" s="28">
        <v>0</v>
      </c>
      <c r="I3" s="28">
        <v>0</v>
      </c>
      <c r="J3" s="28">
        <v>2E-3</v>
      </c>
      <c r="K3" s="28">
        <v>3.0000000000000001E-5</v>
      </c>
      <c r="L3" s="28">
        <v>0</v>
      </c>
      <c r="M3" s="28">
        <v>0</v>
      </c>
      <c r="N3" s="28">
        <v>0</v>
      </c>
      <c r="O3" s="28">
        <v>0</v>
      </c>
      <c r="P3" s="28">
        <v>0.35</v>
      </c>
      <c r="Q3" t="s">
        <v>352</v>
      </c>
    </row>
    <row r="4" spans="1:17" x14ac:dyDescent="0.2">
      <c r="A4" t="s">
        <v>348</v>
      </c>
      <c r="B4" t="s">
        <v>334</v>
      </c>
      <c r="C4" s="29">
        <v>0.25</v>
      </c>
      <c r="D4" s="29">
        <v>2.2000000000000002</v>
      </c>
      <c r="E4" s="29">
        <v>2.5</v>
      </c>
      <c r="F4" s="29">
        <v>0.05</v>
      </c>
      <c r="G4" s="29">
        <v>0.01</v>
      </c>
      <c r="H4" s="29">
        <v>1.01</v>
      </c>
      <c r="I4" s="29">
        <v>0.6</v>
      </c>
      <c r="J4" s="29">
        <v>0.2</v>
      </c>
      <c r="K4" s="29">
        <v>0.01</v>
      </c>
      <c r="L4" s="29">
        <v>0.2</v>
      </c>
      <c r="M4" s="29">
        <v>0</v>
      </c>
      <c r="N4" s="29">
        <v>0</v>
      </c>
      <c r="O4" s="29">
        <v>0</v>
      </c>
      <c r="P4" s="29">
        <v>0</v>
      </c>
      <c r="Q4" s="27" t="s">
        <v>353</v>
      </c>
    </row>
    <row r="5" spans="1:17" x14ac:dyDescent="0.2">
      <c r="A5" t="s">
        <v>349</v>
      </c>
      <c r="B5" t="s">
        <v>334</v>
      </c>
      <c r="C5" s="29">
        <v>0.16</v>
      </c>
      <c r="D5" s="29">
        <v>0.4</v>
      </c>
      <c r="E5" s="29">
        <v>1.8</v>
      </c>
      <c r="F5" s="29">
        <v>0.02</v>
      </c>
      <c r="G5" s="29">
        <v>0.01</v>
      </c>
      <c r="H5" s="29">
        <v>0.51</v>
      </c>
      <c r="I5" s="29">
        <v>0</v>
      </c>
      <c r="J5" s="29">
        <v>0</v>
      </c>
      <c r="K5" s="29">
        <v>0.01</v>
      </c>
      <c r="L5" s="29">
        <v>0.2</v>
      </c>
      <c r="M5" s="29">
        <v>0</v>
      </c>
      <c r="N5" s="29">
        <v>0</v>
      </c>
      <c r="O5" s="29">
        <v>0</v>
      </c>
      <c r="P5" s="29">
        <v>0</v>
      </c>
      <c r="Q5" s="27" t="s">
        <v>353</v>
      </c>
    </row>
    <row r="6" spans="1:17" x14ac:dyDescent="0.2">
      <c r="A6" t="s">
        <v>350</v>
      </c>
      <c r="B6" t="s">
        <v>334</v>
      </c>
      <c r="C6" s="29">
        <v>0.18</v>
      </c>
      <c r="D6" s="29">
        <v>0.8</v>
      </c>
      <c r="E6" s="29">
        <v>2.5</v>
      </c>
      <c r="F6" s="29">
        <v>0.05</v>
      </c>
      <c r="G6" s="29">
        <v>0.01</v>
      </c>
      <c r="H6" s="29">
        <v>0.51</v>
      </c>
      <c r="I6" s="29">
        <v>1</v>
      </c>
      <c r="J6" s="29">
        <v>0.15</v>
      </c>
      <c r="K6" s="29">
        <v>0.01</v>
      </c>
      <c r="L6" s="29">
        <v>0.2</v>
      </c>
      <c r="M6" s="29">
        <v>0</v>
      </c>
      <c r="N6" s="29">
        <v>0</v>
      </c>
      <c r="O6" s="29">
        <v>0</v>
      </c>
      <c r="P6" s="29">
        <v>0</v>
      </c>
      <c r="Q6" s="27" t="s">
        <v>353</v>
      </c>
    </row>
    <row r="7" spans="1:17" x14ac:dyDescent="0.2">
      <c r="A7" t="s">
        <v>351</v>
      </c>
      <c r="B7" t="s">
        <v>334</v>
      </c>
      <c r="C7" s="29">
        <v>0.2</v>
      </c>
      <c r="D7" s="29">
        <v>1</v>
      </c>
      <c r="E7" s="29">
        <v>2.9</v>
      </c>
      <c r="F7" s="29">
        <v>0.05</v>
      </c>
      <c r="G7" s="29">
        <v>0.01</v>
      </c>
      <c r="H7" s="29">
        <v>0.51</v>
      </c>
      <c r="I7" s="29">
        <v>1.4</v>
      </c>
      <c r="J7" s="29">
        <v>0.15</v>
      </c>
      <c r="K7" s="29">
        <v>0.01</v>
      </c>
      <c r="L7" s="29">
        <v>0.2</v>
      </c>
      <c r="M7" s="29">
        <v>0</v>
      </c>
      <c r="N7" s="29">
        <v>0</v>
      </c>
      <c r="O7" s="29">
        <v>0</v>
      </c>
      <c r="P7" s="29">
        <v>0</v>
      </c>
      <c r="Q7" s="27" t="s">
        <v>353</v>
      </c>
    </row>
    <row r="8" spans="1:17" x14ac:dyDescent="0.2"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7" x14ac:dyDescent="0.2"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2640-D09C-E84A-9971-81ACEED20857}">
  <dimension ref="A1:C7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s="5" t="s">
        <v>354</v>
      </c>
      <c r="B1" s="25" t="s">
        <v>236</v>
      </c>
      <c r="C1" s="5" t="s">
        <v>237</v>
      </c>
    </row>
    <row r="2" spans="1:3" x14ac:dyDescent="0.2">
      <c r="A2" t="s">
        <v>346</v>
      </c>
      <c r="B2" s="26">
        <f>1/6</f>
        <v>0.16666666666666666</v>
      </c>
    </row>
    <row r="3" spans="1:3" x14ac:dyDescent="0.2">
      <c r="A3" t="s">
        <v>347</v>
      </c>
      <c r="B3" s="26">
        <f t="shared" ref="B3:B7" si="0">1/6</f>
        <v>0.16666666666666666</v>
      </c>
    </row>
    <row r="4" spans="1:3" x14ac:dyDescent="0.2">
      <c r="A4" t="s">
        <v>348</v>
      </c>
      <c r="B4" s="26">
        <f t="shared" si="0"/>
        <v>0.16666666666666666</v>
      </c>
    </row>
    <row r="5" spans="1:3" x14ac:dyDescent="0.2">
      <c r="A5" t="s">
        <v>349</v>
      </c>
      <c r="B5" s="26">
        <f t="shared" si="0"/>
        <v>0.16666666666666666</v>
      </c>
    </row>
    <row r="6" spans="1:3" x14ac:dyDescent="0.2">
      <c r="A6" t="s">
        <v>350</v>
      </c>
      <c r="B6" s="26">
        <f t="shared" si="0"/>
        <v>0.16666666666666666</v>
      </c>
    </row>
    <row r="7" spans="1:3" x14ac:dyDescent="0.2">
      <c r="A7" t="s">
        <v>351</v>
      </c>
      <c r="B7" s="26">
        <f t="shared" si="0"/>
        <v>0.16666666666666666</v>
      </c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4E70-9483-9341-AAB4-88745766F23F}">
  <dimension ref="A1:Q6"/>
  <sheetViews>
    <sheetView workbookViewId="0">
      <selection activeCell="AK65" sqref="AK65"/>
    </sheetView>
  </sheetViews>
  <sheetFormatPr baseColWidth="10" defaultRowHeight="16" x14ac:dyDescent="0.2"/>
  <cols>
    <col min="1" max="1" width="19.83203125" customWidth="1"/>
  </cols>
  <sheetData>
    <row r="1" spans="1:17" x14ac:dyDescent="0.2">
      <c r="A1" t="s">
        <v>321</v>
      </c>
      <c r="B1" t="s">
        <v>320</v>
      </c>
      <c r="C1" t="s">
        <v>229</v>
      </c>
      <c r="D1" t="s">
        <v>1</v>
      </c>
      <c r="E1" t="s">
        <v>4</v>
      </c>
      <c r="F1" t="s">
        <v>227</v>
      </c>
      <c r="G1" t="s">
        <v>228</v>
      </c>
      <c r="H1" t="s">
        <v>238</v>
      </c>
      <c r="I1" t="s">
        <v>342</v>
      </c>
      <c r="J1" t="s">
        <v>343</v>
      </c>
      <c r="K1" t="s">
        <v>329</v>
      </c>
      <c r="L1" t="s">
        <v>3</v>
      </c>
      <c r="M1" t="s">
        <v>9</v>
      </c>
      <c r="N1" t="s">
        <v>330</v>
      </c>
      <c r="O1" t="s">
        <v>11</v>
      </c>
      <c r="P1" t="s">
        <v>6</v>
      </c>
      <c r="Q1" t="s">
        <v>237</v>
      </c>
    </row>
    <row r="2" spans="1:17" x14ac:dyDescent="0.2">
      <c r="A2" s="27" t="s">
        <v>355</v>
      </c>
      <c r="B2" t="s">
        <v>334</v>
      </c>
      <c r="C2" s="28">
        <v>0.2</v>
      </c>
      <c r="D2" s="28">
        <v>0.8</v>
      </c>
      <c r="E2" s="28">
        <v>2.6</v>
      </c>
      <c r="F2" s="28">
        <v>0.04</v>
      </c>
      <c r="G2" s="28">
        <v>0.01</v>
      </c>
      <c r="H2" s="28">
        <v>0.50749999999999995</v>
      </c>
      <c r="I2" s="28">
        <v>1</v>
      </c>
      <c r="J2" s="28">
        <v>0.15</v>
      </c>
      <c r="K2" s="28">
        <v>5.0000000000000001E-3</v>
      </c>
      <c r="L2" s="28">
        <v>0.2</v>
      </c>
      <c r="M2" s="28">
        <v>0</v>
      </c>
      <c r="N2" s="28">
        <v>0</v>
      </c>
      <c r="O2" s="28">
        <v>0.2</v>
      </c>
      <c r="P2" s="28">
        <v>0</v>
      </c>
      <c r="Q2" t="s">
        <v>357</v>
      </c>
    </row>
    <row r="3" spans="1:17" x14ac:dyDescent="0.2">
      <c r="A3" s="27" t="s">
        <v>356</v>
      </c>
      <c r="B3" t="s">
        <v>334</v>
      </c>
      <c r="C3" s="28">
        <v>0.4</v>
      </c>
      <c r="D3" s="28">
        <v>0.25</v>
      </c>
      <c r="E3" s="28">
        <v>0.8</v>
      </c>
      <c r="F3" s="28">
        <v>2.5000000000000001E-2</v>
      </c>
      <c r="G3" s="28">
        <v>2.5000000000000001E-2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t="s">
        <v>357</v>
      </c>
    </row>
    <row r="4" spans="1:17" x14ac:dyDescent="0.2">
      <c r="A4" t="s">
        <v>358</v>
      </c>
      <c r="B4" t="s">
        <v>334</v>
      </c>
      <c r="C4" s="28">
        <v>0.2</v>
      </c>
      <c r="D4" s="28">
        <v>0.8</v>
      </c>
      <c r="E4" s="28">
        <v>2.6</v>
      </c>
      <c r="F4" s="28">
        <v>0.04</v>
      </c>
      <c r="G4" s="28">
        <v>0.01</v>
      </c>
      <c r="H4" s="28">
        <v>0.50749999999999995</v>
      </c>
      <c r="I4" s="28">
        <v>1</v>
      </c>
      <c r="J4" s="28">
        <v>0.15</v>
      </c>
      <c r="K4" s="28">
        <v>5.0000000000000001E-3</v>
      </c>
      <c r="L4" s="28">
        <v>0.2</v>
      </c>
      <c r="M4" s="28">
        <v>0</v>
      </c>
      <c r="N4" s="28">
        <v>0</v>
      </c>
      <c r="O4" s="28">
        <v>0.2</v>
      </c>
      <c r="P4" s="28">
        <v>0</v>
      </c>
      <c r="Q4" t="s">
        <v>359</v>
      </c>
    </row>
    <row r="5" spans="1:17" x14ac:dyDescent="0.2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7"/>
    </row>
    <row r="6" spans="1:17" x14ac:dyDescent="0.2"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7"/>
    </row>
  </sheetData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0986-46F1-1747-AC11-59E7F3BB109D}">
  <dimension ref="A1:C4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s="5" t="s">
        <v>360</v>
      </c>
      <c r="B1" s="25" t="s">
        <v>236</v>
      </c>
      <c r="C1" s="5" t="s">
        <v>237</v>
      </c>
    </row>
    <row r="2" spans="1:3" x14ac:dyDescent="0.2">
      <c r="A2" s="27" t="s">
        <v>355</v>
      </c>
      <c r="B2" s="26">
        <f>1/3</f>
        <v>0.33333333333333331</v>
      </c>
    </row>
    <row r="3" spans="1:3" x14ac:dyDescent="0.2">
      <c r="A3" s="27" t="s">
        <v>356</v>
      </c>
      <c r="B3" s="26">
        <f t="shared" ref="B3:B4" si="0">1/3</f>
        <v>0.33333333333333331</v>
      </c>
    </row>
    <row r="4" spans="1:3" x14ac:dyDescent="0.2">
      <c r="A4" t="s">
        <v>358</v>
      </c>
      <c r="B4" s="26">
        <f t="shared" si="0"/>
        <v>0.33333333333333331</v>
      </c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3C17-E412-1647-A8ED-2865D1A10FB1}">
  <dimension ref="A1:K7"/>
  <sheetViews>
    <sheetView workbookViewId="0">
      <selection activeCell="J8" sqref="J8"/>
    </sheetView>
  </sheetViews>
  <sheetFormatPr baseColWidth="10" defaultRowHeight="16" x14ac:dyDescent="0.2"/>
  <cols>
    <col min="11" max="11" width="29.1640625" customWidth="1"/>
  </cols>
  <sheetData>
    <row r="1" spans="1:11" x14ac:dyDescent="0.2">
      <c r="A1" s="12" t="s">
        <v>321</v>
      </c>
      <c r="B1" s="12" t="s">
        <v>320</v>
      </c>
      <c r="C1" s="12" t="s">
        <v>5</v>
      </c>
      <c r="D1" s="12" t="s">
        <v>238</v>
      </c>
      <c r="E1" s="12" t="s">
        <v>4</v>
      </c>
      <c r="F1" s="12" t="s">
        <v>1</v>
      </c>
      <c r="G1" s="12" t="s">
        <v>381</v>
      </c>
      <c r="H1" s="12" t="s">
        <v>8</v>
      </c>
      <c r="I1" s="12" t="s">
        <v>7</v>
      </c>
      <c r="J1" s="12" t="s">
        <v>389</v>
      </c>
      <c r="K1" s="12" t="s">
        <v>237</v>
      </c>
    </row>
    <row r="2" spans="1:11" x14ac:dyDescent="0.2">
      <c r="A2" s="12" t="s">
        <v>394</v>
      </c>
      <c r="B2" s="12" t="s">
        <v>334</v>
      </c>
      <c r="C2" s="31">
        <v>93</v>
      </c>
      <c r="D2" s="31">
        <v>6</v>
      </c>
      <c r="E2" s="31">
        <v>0.4</v>
      </c>
      <c r="F2" s="31">
        <v>0.01</v>
      </c>
      <c r="G2" s="31">
        <v>0.01</v>
      </c>
      <c r="H2" s="31">
        <v>0.1</v>
      </c>
      <c r="I2" s="31">
        <v>0.02</v>
      </c>
      <c r="J2" s="31">
        <v>0</v>
      </c>
      <c r="K2" s="12" t="s">
        <v>392</v>
      </c>
    </row>
    <row r="3" spans="1:11" x14ac:dyDescent="0.2">
      <c r="A3" s="12" t="s">
        <v>393</v>
      </c>
      <c r="B3" s="12" t="s">
        <v>334</v>
      </c>
      <c r="C3" s="31">
        <v>91</v>
      </c>
      <c r="D3" s="31">
        <v>8.5</v>
      </c>
      <c r="E3" s="31">
        <v>0.2</v>
      </c>
      <c r="F3" s="31">
        <v>1.4999999999999999E-2</v>
      </c>
      <c r="G3" s="31">
        <v>0.04</v>
      </c>
      <c r="H3" s="31">
        <v>0.6</v>
      </c>
      <c r="I3" s="31">
        <v>0.01</v>
      </c>
      <c r="J3" s="31">
        <v>0</v>
      </c>
      <c r="K3" s="12" t="s">
        <v>392</v>
      </c>
    </row>
    <row r="4" spans="1:11" x14ac:dyDescent="0.2">
      <c r="A4" s="12"/>
      <c r="B4" s="12"/>
      <c r="C4" s="29"/>
      <c r="D4" s="29"/>
      <c r="E4" s="29"/>
      <c r="F4" s="29"/>
      <c r="G4" s="29"/>
      <c r="H4" s="29"/>
      <c r="I4" s="29"/>
      <c r="J4" s="29"/>
      <c r="K4" s="27"/>
    </row>
    <row r="5" spans="1:11" x14ac:dyDescent="0.2">
      <c r="A5" s="12"/>
      <c r="B5" s="12"/>
      <c r="C5" s="29"/>
      <c r="D5" s="29"/>
      <c r="E5" s="29"/>
      <c r="F5" s="29"/>
      <c r="G5" s="29"/>
      <c r="H5" s="29"/>
      <c r="I5" s="29"/>
      <c r="J5" s="29"/>
      <c r="K5" s="27"/>
    </row>
    <row r="6" spans="1:11" x14ac:dyDescent="0.2">
      <c r="A6" s="12"/>
      <c r="B6" s="12"/>
      <c r="C6" s="29"/>
      <c r="D6" s="29"/>
      <c r="E6" s="29"/>
      <c r="F6" s="29"/>
      <c r="G6" s="29"/>
      <c r="H6" s="29"/>
      <c r="I6" s="29"/>
      <c r="J6" s="29"/>
      <c r="K6" s="27"/>
    </row>
    <row r="7" spans="1:11" x14ac:dyDescent="0.2">
      <c r="A7" s="12"/>
      <c r="B7" s="12"/>
      <c r="C7" s="29"/>
      <c r="D7" s="29"/>
      <c r="E7" s="29"/>
      <c r="F7" s="29"/>
      <c r="G7" s="29"/>
      <c r="H7" s="29"/>
      <c r="I7" s="29"/>
      <c r="J7" s="29"/>
      <c r="K7" s="27"/>
    </row>
  </sheetData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861F-16B9-F649-B767-1A6DC1B76CDC}">
  <dimension ref="A1:C3"/>
  <sheetViews>
    <sheetView workbookViewId="0"/>
  </sheetViews>
  <sheetFormatPr baseColWidth="10" defaultRowHeight="16" x14ac:dyDescent="0.2"/>
  <sheetData>
    <row r="1" spans="1:3" x14ac:dyDescent="0.2">
      <c r="A1" s="5" t="s">
        <v>395</v>
      </c>
      <c r="B1" s="25" t="s">
        <v>236</v>
      </c>
      <c r="C1" s="5" t="s">
        <v>237</v>
      </c>
    </row>
    <row r="2" spans="1:3" x14ac:dyDescent="0.2">
      <c r="A2" s="12" t="s">
        <v>394</v>
      </c>
      <c r="B2" s="26">
        <v>0.5</v>
      </c>
    </row>
    <row r="3" spans="1:3" x14ac:dyDescent="0.2">
      <c r="A3" s="12" t="s">
        <v>393</v>
      </c>
      <c r="B3" s="26">
        <v>0.5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116C-6842-6349-8FED-E5515BCFD369}">
  <dimension ref="A1:I5"/>
  <sheetViews>
    <sheetView workbookViewId="0">
      <selection activeCell="A5" sqref="A5"/>
    </sheetView>
  </sheetViews>
  <sheetFormatPr baseColWidth="10" defaultRowHeight="16" x14ac:dyDescent="0.2"/>
  <sheetData>
    <row r="1" spans="1:9" x14ac:dyDescent="0.2">
      <c r="A1" s="5" t="s">
        <v>388</v>
      </c>
      <c r="B1" s="5" t="s">
        <v>320</v>
      </c>
      <c r="C1" s="5" t="s">
        <v>2</v>
      </c>
      <c r="D1" s="5" t="s">
        <v>238</v>
      </c>
      <c r="E1" s="5" t="s">
        <v>3</v>
      </c>
      <c r="F1" s="5" t="s">
        <v>361</v>
      </c>
      <c r="G1" s="5" t="s">
        <v>362</v>
      </c>
      <c r="H1" s="5" t="s">
        <v>363</v>
      </c>
      <c r="I1" s="5" t="s">
        <v>237</v>
      </c>
    </row>
    <row r="2" spans="1:9" x14ac:dyDescent="0.2">
      <c r="A2" s="27" t="s">
        <v>366</v>
      </c>
      <c r="B2" t="s">
        <v>334</v>
      </c>
      <c r="C2" s="28">
        <v>4.0800000000000003E-2</v>
      </c>
      <c r="D2" s="28">
        <v>2.2395</v>
      </c>
      <c r="E2" s="28">
        <v>3.9670999999999998</v>
      </c>
      <c r="F2" s="28">
        <v>4.5999999999999999E-3</v>
      </c>
      <c r="G2" s="28">
        <v>2.9399999999999999E-2</v>
      </c>
      <c r="H2" s="28">
        <v>1E-3</v>
      </c>
      <c r="I2" t="s">
        <v>364</v>
      </c>
    </row>
    <row r="3" spans="1:9" x14ac:dyDescent="0.2">
      <c r="A3" t="s">
        <v>365</v>
      </c>
      <c r="B3" t="s">
        <v>334</v>
      </c>
      <c r="C3">
        <v>6.9900000000000004E-2</v>
      </c>
      <c r="D3">
        <v>1.5037</v>
      </c>
      <c r="E3">
        <v>2.5028999999999999</v>
      </c>
      <c r="F3">
        <v>5.7000000000000002E-3</v>
      </c>
      <c r="G3">
        <v>2.9899999999999999E-2</v>
      </c>
      <c r="H3">
        <v>8.0000000000000004E-4</v>
      </c>
      <c r="I3" t="s">
        <v>364</v>
      </c>
    </row>
    <row r="4" spans="1:9" x14ac:dyDescent="0.2">
      <c r="A4" t="s">
        <v>367</v>
      </c>
      <c r="B4" t="s">
        <v>334</v>
      </c>
      <c r="C4">
        <v>0.17519999999999999</v>
      </c>
      <c r="D4">
        <v>1.1361000000000001</v>
      </c>
      <c r="E4">
        <v>7.3596000000000004</v>
      </c>
      <c r="F4">
        <v>2.3300000000000001E-2</v>
      </c>
      <c r="G4">
        <v>4.6399999999999997E-2</v>
      </c>
      <c r="H4">
        <v>4.0000000000000001E-3</v>
      </c>
      <c r="I4" t="s">
        <v>364</v>
      </c>
    </row>
    <row r="5" spans="1:9" x14ac:dyDescent="0.2">
      <c r="A5" t="s">
        <v>368</v>
      </c>
      <c r="B5" t="s">
        <v>334</v>
      </c>
      <c r="C5">
        <v>0.17519999999999999</v>
      </c>
      <c r="D5">
        <v>1.1361000000000001</v>
      </c>
      <c r="E5">
        <v>7.3596000000000004</v>
      </c>
      <c r="F5">
        <v>2.3300000000000001E-2</v>
      </c>
      <c r="G5">
        <v>4.6399999999999997E-2</v>
      </c>
      <c r="H5">
        <v>4.0000000000000001E-3</v>
      </c>
      <c r="I5" t="s">
        <v>369</v>
      </c>
    </row>
  </sheetData>
  <phoneticPr fontId="9" type="noConversion"/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F281-715D-0242-84A9-4E069517BE6B}">
  <dimension ref="A1:C2"/>
  <sheetViews>
    <sheetView workbookViewId="0">
      <selection activeCell="J48" sqref="J48"/>
    </sheetView>
  </sheetViews>
  <sheetFormatPr baseColWidth="10" defaultRowHeight="16" x14ac:dyDescent="0.2"/>
  <sheetData>
    <row r="1" spans="1:3" x14ac:dyDescent="0.2">
      <c r="A1" s="5" t="s">
        <v>370</v>
      </c>
      <c r="B1" s="25" t="s">
        <v>236</v>
      </c>
      <c r="C1" s="5" t="s">
        <v>237</v>
      </c>
    </row>
    <row r="2" spans="1:3" x14ac:dyDescent="0.2">
      <c r="A2" t="s">
        <v>366</v>
      </c>
      <c r="B2">
        <v>1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3BDA-ED3C-B343-8774-C72F217425CC}">
  <dimension ref="A1:C2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s="5" t="s">
        <v>371</v>
      </c>
      <c r="B1" s="25" t="s">
        <v>236</v>
      </c>
      <c r="C1" s="5" t="s">
        <v>237</v>
      </c>
    </row>
    <row r="2" spans="1:3" x14ac:dyDescent="0.2">
      <c r="A2" t="s">
        <v>365</v>
      </c>
      <c r="B2">
        <v>1</v>
      </c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7F32-0FFD-9040-A484-5FF4F7868D6A}">
  <dimension ref="A1:C2"/>
  <sheetViews>
    <sheetView workbookViewId="0">
      <selection sqref="A1:C2"/>
    </sheetView>
  </sheetViews>
  <sheetFormatPr baseColWidth="10" defaultRowHeight="16" x14ac:dyDescent="0.2"/>
  <cols>
    <col min="1" max="1" width="16.5" customWidth="1"/>
  </cols>
  <sheetData>
    <row r="1" spans="1:3" x14ac:dyDescent="0.2">
      <c r="A1" s="5" t="s">
        <v>372</v>
      </c>
      <c r="B1" s="25" t="s">
        <v>236</v>
      </c>
      <c r="C1" s="5" t="s">
        <v>237</v>
      </c>
    </row>
    <row r="2" spans="1:3" x14ac:dyDescent="0.2">
      <c r="A2" t="s">
        <v>367</v>
      </c>
      <c r="B2">
        <v>1</v>
      </c>
    </row>
  </sheetData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76D5-B0A1-1A4F-9E1C-75B311E6950C}">
  <dimension ref="A1:C2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s="5" t="s">
        <v>373</v>
      </c>
      <c r="B1" s="25" t="s">
        <v>236</v>
      </c>
      <c r="C1" s="5" t="s">
        <v>237</v>
      </c>
    </row>
    <row r="2" spans="1:3" x14ac:dyDescent="0.2">
      <c r="A2" t="s">
        <v>374</v>
      </c>
      <c r="B2">
        <v>1</v>
      </c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1AB2-E89B-DE4D-A6A8-B5FAFD9A8B20}">
  <dimension ref="A1:E3"/>
  <sheetViews>
    <sheetView workbookViewId="0">
      <selection activeCell="A3" sqref="A3"/>
    </sheetView>
  </sheetViews>
  <sheetFormatPr baseColWidth="10" defaultRowHeight="16" x14ac:dyDescent="0.2"/>
  <cols>
    <col min="1" max="1" width="13" customWidth="1"/>
  </cols>
  <sheetData>
    <row r="1" spans="1:5" x14ac:dyDescent="0.2">
      <c r="A1" s="5" t="s">
        <v>321</v>
      </c>
      <c r="B1" s="5" t="s">
        <v>320</v>
      </c>
      <c r="C1" s="5" t="s">
        <v>3</v>
      </c>
      <c r="D1" s="5" t="s">
        <v>375</v>
      </c>
      <c r="E1" s="5" t="s">
        <v>237</v>
      </c>
    </row>
    <row r="2" spans="1:5" x14ac:dyDescent="0.2">
      <c r="A2" s="27" t="s">
        <v>376</v>
      </c>
      <c r="B2" t="s">
        <v>334</v>
      </c>
      <c r="C2" s="28">
        <v>85</v>
      </c>
      <c r="D2" s="28">
        <v>15</v>
      </c>
      <c r="E2" t="s">
        <v>377</v>
      </c>
    </row>
    <row r="3" spans="1:5" x14ac:dyDescent="0.2">
      <c r="A3" t="s">
        <v>378</v>
      </c>
      <c r="B3" t="s">
        <v>334</v>
      </c>
      <c r="C3">
        <v>99</v>
      </c>
      <c r="D3">
        <v>1</v>
      </c>
      <c r="E3" t="s">
        <v>377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E071-C215-0A44-95B3-7593998BF389}">
  <dimension ref="A1:C2"/>
  <sheetViews>
    <sheetView workbookViewId="0">
      <selection activeCell="I45" sqref="I45"/>
    </sheetView>
  </sheetViews>
  <sheetFormatPr baseColWidth="10" defaultRowHeight="16" x14ac:dyDescent="0.2"/>
  <sheetData>
    <row r="1" spans="1:3" x14ac:dyDescent="0.2">
      <c r="A1" s="5" t="s">
        <v>376</v>
      </c>
      <c r="B1" s="25" t="s">
        <v>236</v>
      </c>
      <c r="C1" s="5" t="s">
        <v>237</v>
      </c>
    </row>
    <row r="2" spans="1:3" x14ac:dyDescent="0.2">
      <c r="A2" t="s">
        <v>376</v>
      </c>
      <c r="B2">
        <v>1</v>
      </c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6DE7-C4BA-314F-B24A-DF2D1D4C3B8A}">
  <dimension ref="A1:C2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s="5" t="s">
        <v>378</v>
      </c>
      <c r="B1" s="25" t="s">
        <v>236</v>
      </c>
      <c r="C1" s="5" t="s">
        <v>237</v>
      </c>
    </row>
    <row r="2" spans="1:3" x14ac:dyDescent="0.2">
      <c r="A2" t="s">
        <v>378</v>
      </c>
      <c r="B2">
        <v>1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BD2C-DDDE-0D46-BA12-327548533EFA}">
  <dimension ref="A1:O5"/>
  <sheetViews>
    <sheetView workbookViewId="0">
      <selection activeCell="AE54" sqref="AE54"/>
    </sheetView>
  </sheetViews>
  <sheetFormatPr baseColWidth="10" defaultRowHeight="16" x14ac:dyDescent="0.2"/>
  <sheetData>
    <row r="1" spans="1:15" x14ac:dyDescent="0.2">
      <c r="A1" s="5" t="s">
        <v>321</v>
      </c>
      <c r="B1" s="5" t="s">
        <v>320</v>
      </c>
      <c r="C1" s="5" t="s">
        <v>379</v>
      </c>
      <c r="D1" s="5" t="s">
        <v>2</v>
      </c>
      <c r="E1" s="5" t="s">
        <v>329</v>
      </c>
      <c r="F1" s="5" t="s">
        <v>380</v>
      </c>
      <c r="G1" s="5" t="s">
        <v>238</v>
      </c>
      <c r="H1" s="5" t="s">
        <v>330</v>
      </c>
      <c r="I1" s="5" t="s">
        <v>382</v>
      </c>
      <c r="J1" s="5" t="s">
        <v>229</v>
      </c>
      <c r="K1" s="5" t="s">
        <v>6</v>
      </c>
      <c r="L1" s="5" t="s">
        <v>7</v>
      </c>
      <c r="M1" s="5" t="s">
        <v>381</v>
      </c>
      <c r="N1" s="5" t="s">
        <v>384</v>
      </c>
    </row>
    <row r="2" spans="1:15" x14ac:dyDescent="0.2">
      <c r="A2" s="27" t="s">
        <v>383</v>
      </c>
      <c r="B2" t="s">
        <v>317</v>
      </c>
      <c r="C2" s="28">
        <v>31</v>
      </c>
      <c r="D2" s="28">
        <v>67</v>
      </c>
      <c r="E2" s="28">
        <v>1.04</v>
      </c>
      <c r="F2" s="28">
        <v>0</v>
      </c>
      <c r="G2" s="28">
        <v>0</v>
      </c>
      <c r="H2" s="28">
        <v>0</v>
      </c>
      <c r="I2" s="28">
        <v>13</v>
      </c>
      <c r="J2" s="28">
        <v>0</v>
      </c>
      <c r="K2" s="28">
        <v>0</v>
      </c>
      <c r="L2" s="28">
        <v>6.4</v>
      </c>
      <c r="M2" s="28">
        <v>4.2</v>
      </c>
      <c r="N2" s="28">
        <v>4.2</v>
      </c>
      <c r="O2" s="28"/>
    </row>
    <row r="3" spans="1:15" x14ac:dyDescent="0.2">
      <c r="A3" s="27" t="s">
        <v>383</v>
      </c>
      <c r="B3" t="s">
        <v>318</v>
      </c>
      <c r="C3">
        <v>22</v>
      </c>
      <c r="D3">
        <v>53</v>
      </c>
      <c r="E3">
        <v>0.74</v>
      </c>
      <c r="F3">
        <v>0</v>
      </c>
      <c r="G3">
        <v>0</v>
      </c>
      <c r="H3">
        <v>0</v>
      </c>
      <c r="I3">
        <v>7.0000000000000007E-2</v>
      </c>
      <c r="J3">
        <v>0</v>
      </c>
      <c r="K3">
        <v>0</v>
      </c>
      <c r="L3">
        <v>0.02</v>
      </c>
      <c r="M3">
        <v>0.54</v>
      </c>
      <c r="N3">
        <v>0.77</v>
      </c>
      <c r="O3" s="28"/>
    </row>
    <row r="4" spans="1:15" x14ac:dyDescent="0.2">
      <c r="A4" t="s">
        <v>385</v>
      </c>
      <c r="B4" t="s">
        <v>334</v>
      </c>
      <c r="C4">
        <v>31</v>
      </c>
      <c r="D4">
        <v>61.5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4.5</v>
      </c>
      <c r="O4" s="28"/>
    </row>
    <row r="5" spans="1:15" x14ac:dyDescent="0.2">
      <c r="A5" t="s">
        <v>386</v>
      </c>
      <c r="B5" t="s">
        <v>334</v>
      </c>
      <c r="C5">
        <v>23.8</v>
      </c>
      <c r="D5">
        <v>73.7</v>
      </c>
      <c r="E5">
        <v>0.9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1.6</v>
      </c>
      <c r="O5" s="28"/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D676-EC84-9344-A419-C681A7E59110}">
  <dimension ref="A1:C4"/>
  <sheetViews>
    <sheetView workbookViewId="0"/>
  </sheetViews>
  <sheetFormatPr baseColWidth="10" defaultRowHeight="16" x14ac:dyDescent="0.2"/>
  <sheetData>
    <row r="1" spans="1:3" x14ac:dyDescent="0.2">
      <c r="A1" s="5" t="s">
        <v>387</v>
      </c>
      <c r="B1" s="25" t="s">
        <v>236</v>
      </c>
      <c r="C1" s="5" t="s">
        <v>237</v>
      </c>
    </row>
    <row r="2" spans="1:3" x14ac:dyDescent="0.2">
      <c r="A2" t="s">
        <v>383</v>
      </c>
      <c r="B2">
        <v>0.33</v>
      </c>
    </row>
    <row r="3" spans="1:3" x14ac:dyDescent="0.2">
      <c r="A3" t="s">
        <v>385</v>
      </c>
      <c r="B3">
        <v>0.33</v>
      </c>
    </row>
    <row r="4" spans="1:3" x14ac:dyDescent="0.2">
      <c r="A4" t="s">
        <v>386</v>
      </c>
      <c r="B4">
        <v>0.33</v>
      </c>
    </row>
  </sheetData>
  <phoneticPr fontId="9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45</vt:i4>
      </vt:variant>
    </vt:vector>
  </HeadingPairs>
  <TitlesOfParts>
    <vt:vector size="45" baseType="lpstr">
      <vt:lpstr>castAlAlloys1</vt:lpstr>
      <vt:lpstr>castAlAlloys2Low</vt:lpstr>
      <vt:lpstr>castAlAlloys2High</vt:lpstr>
      <vt:lpstr>Wrought1000sLow</vt:lpstr>
      <vt:lpstr>Wrought1000sHigh</vt:lpstr>
      <vt:lpstr>Wrought2000sLow</vt:lpstr>
      <vt:lpstr>Wrought2000sHigh</vt:lpstr>
      <vt:lpstr>Wrought3000sLow</vt:lpstr>
      <vt:lpstr>Wrought3000sHigh</vt:lpstr>
      <vt:lpstr>Wrought4000sLow</vt:lpstr>
      <vt:lpstr>Wrought4000sHigh</vt:lpstr>
      <vt:lpstr>Wrought5000sLow</vt:lpstr>
      <vt:lpstr>Wrought5000sHigh</vt:lpstr>
      <vt:lpstr>Wrought6000sLow</vt:lpstr>
      <vt:lpstr>Wrought6000sHigh</vt:lpstr>
      <vt:lpstr>Wrought7000sLow</vt:lpstr>
      <vt:lpstr>Wrought7000sHigh</vt:lpstr>
      <vt:lpstr>AlSiCuDefinition</vt:lpstr>
      <vt:lpstr>AlSiMgDefinition</vt:lpstr>
      <vt:lpstr>Al_5xxxAlDefinition</vt:lpstr>
      <vt:lpstr>Al_6xxxAlDefinition</vt:lpstr>
      <vt:lpstr>Al_7xxxAlDefinition</vt:lpstr>
      <vt:lpstr>castIron_wrong</vt:lpstr>
      <vt:lpstr>castIron</vt:lpstr>
      <vt:lpstr>castIronDefinition</vt:lpstr>
      <vt:lpstr>mildSteel</vt:lpstr>
      <vt:lpstr>mildSteelDefinition</vt:lpstr>
      <vt:lpstr>HSSteel</vt:lpstr>
      <vt:lpstr>HSSteelDefinition</vt:lpstr>
      <vt:lpstr>UHSSteel</vt:lpstr>
      <vt:lpstr>UHSSteelDefinition</vt:lpstr>
      <vt:lpstr>AHSSteel</vt:lpstr>
      <vt:lpstr>AHSSteelDefinition</vt:lpstr>
      <vt:lpstr>magnesiumAlloys</vt:lpstr>
      <vt:lpstr>magnesiumDefinition</vt:lpstr>
      <vt:lpstr>ElectronicsPCB</vt:lpstr>
      <vt:lpstr>PCBsLightsDefinition</vt:lpstr>
      <vt:lpstr>PCBsActuatorsDefinition</vt:lpstr>
      <vt:lpstr>PCBsControllersDefinition</vt:lpstr>
      <vt:lpstr>PCBsPowerelectronicsDefinition</vt:lpstr>
      <vt:lpstr>Cable</vt:lpstr>
      <vt:lpstr>CableInsulatedDefinition</vt:lpstr>
      <vt:lpstr>CableEngineDefinition</vt:lpstr>
      <vt:lpstr>PermanentMagnet</vt:lpstr>
      <vt:lpstr>PermanentMagnetDefinition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2024-01-24T13:37:00Z</dcterms:created>
  <dcterms:modified xsi:type="dcterms:W3CDTF">2025-05-08T12:06:11Z</dcterms:modified>
</cp:coreProperties>
</file>