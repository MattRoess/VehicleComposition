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/Data/"/>
    </mc:Choice>
  </mc:AlternateContent>
  <xr:revisionPtr revIDLastSave="0" documentId="13_ncr:1_{E2010ABF-AD46-6344-A9C7-567C654329FD}" xr6:coauthVersionLast="47" xr6:coauthVersionMax="47" xr10:uidLastSave="{00000000-0000-0000-0000-000000000000}"/>
  <bookViews>
    <workbookView xWindow="61920" yWindow="2020" windowWidth="35780" windowHeight="27560" activeTab="9" xr2:uid="{C74E73DF-1519-A444-B05C-A8E9A87ED120}"/>
  </bookViews>
  <sheets>
    <sheet name="SegmentA" sheetId="1" r:id="rId1"/>
    <sheet name="SegmentB" sheetId="2" r:id="rId2"/>
    <sheet name="Segment C" sheetId="3" r:id="rId3"/>
    <sheet name="SegmentD" sheetId="4" r:id="rId4"/>
    <sheet name="SegmentE" sheetId="5" r:id="rId5"/>
    <sheet name="SegmentF" sheetId="8" r:id="rId6"/>
    <sheet name="EuroStat" sheetId="6" r:id="rId7"/>
    <sheet name="TranslateKeys" sheetId="9" r:id="rId8"/>
    <sheet name="Keys" sheetId="7" r:id="rId9"/>
    <sheet name="CarWeight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H3" i="7"/>
  <c r="J3" i="7"/>
  <c r="L3" i="7"/>
  <c r="N3" i="7"/>
  <c r="B3" i="7"/>
  <c r="F4" i="7"/>
  <c r="H4" i="7"/>
  <c r="J4" i="7"/>
  <c r="L4" i="7"/>
  <c r="N4" i="7"/>
  <c r="B4" i="7"/>
  <c r="F5" i="7"/>
  <c r="H5" i="7"/>
  <c r="J5" i="7"/>
  <c r="L5" i="7"/>
  <c r="N5" i="7"/>
  <c r="B5" i="7"/>
  <c r="F6" i="7"/>
  <c r="H6" i="7"/>
  <c r="J6" i="7"/>
  <c r="L6" i="7"/>
  <c r="N6" i="7"/>
  <c r="B6" i="7"/>
  <c r="F7" i="7"/>
  <c r="H7" i="7"/>
  <c r="J7" i="7"/>
  <c r="L7" i="7"/>
  <c r="N7" i="7"/>
  <c r="B7" i="7"/>
  <c r="F8" i="7"/>
  <c r="H8" i="7"/>
  <c r="J8" i="7"/>
  <c r="L8" i="7"/>
  <c r="N8" i="7"/>
  <c r="B8" i="7"/>
  <c r="F9" i="7"/>
  <c r="H9" i="7"/>
  <c r="J9" i="7"/>
  <c r="L9" i="7"/>
  <c r="N9" i="7"/>
  <c r="B9" i="7"/>
  <c r="F10" i="7"/>
  <c r="H10" i="7"/>
  <c r="J10" i="7"/>
  <c r="L10" i="7"/>
  <c r="N10" i="7"/>
  <c r="B10" i="7"/>
  <c r="F11" i="7"/>
  <c r="H11" i="7"/>
  <c r="J11" i="7"/>
  <c r="L11" i="7"/>
  <c r="N11" i="7"/>
  <c r="B11" i="7"/>
  <c r="F12" i="7"/>
  <c r="H12" i="7"/>
  <c r="J12" i="7"/>
  <c r="L12" i="7"/>
  <c r="N12" i="7"/>
  <c r="B12" i="7"/>
  <c r="F13" i="7"/>
  <c r="H13" i="7"/>
  <c r="J13" i="7"/>
  <c r="L13" i="7"/>
  <c r="N13" i="7"/>
  <c r="B13" i="7"/>
  <c r="F14" i="7"/>
  <c r="H14" i="7"/>
  <c r="J14" i="7"/>
  <c r="L14" i="7"/>
  <c r="N14" i="7"/>
  <c r="B14" i="7"/>
  <c r="F15" i="7"/>
  <c r="H15" i="7"/>
  <c r="J15" i="7"/>
  <c r="L15" i="7"/>
  <c r="N15" i="7"/>
  <c r="B15" i="7"/>
  <c r="F16" i="7"/>
  <c r="H16" i="7"/>
  <c r="J16" i="7"/>
  <c r="L16" i="7"/>
  <c r="N16" i="7"/>
  <c r="B16" i="7"/>
  <c r="F17" i="7"/>
  <c r="H17" i="7"/>
  <c r="J17" i="7"/>
  <c r="L17" i="7"/>
  <c r="N17" i="7"/>
  <c r="B17" i="7"/>
  <c r="F18" i="7"/>
  <c r="H18" i="7"/>
  <c r="J18" i="7"/>
  <c r="L18" i="7"/>
  <c r="N18" i="7"/>
  <c r="B18" i="7"/>
  <c r="F19" i="7"/>
  <c r="H19" i="7"/>
  <c r="J19" i="7"/>
  <c r="L19" i="7"/>
  <c r="N19" i="7"/>
  <c r="B19" i="7"/>
  <c r="F20" i="7"/>
  <c r="H20" i="7"/>
  <c r="J20" i="7"/>
  <c r="L20" i="7"/>
  <c r="N20" i="7"/>
  <c r="B20" i="7"/>
  <c r="F21" i="7"/>
  <c r="H21" i="7"/>
  <c r="J21" i="7"/>
  <c r="L21" i="7"/>
  <c r="N21" i="7"/>
  <c r="B21" i="7"/>
  <c r="F22" i="7"/>
  <c r="H22" i="7"/>
  <c r="J22" i="7"/>
  <c r="L22" i="7"/>
  <c r="N22" i="7"/>
  <c r="B22" i="7"/>
  <c r="F23" i="7"/>
  <c r="H23" i="7"/>
  <c r="J23" i="7"/>
  <c r="L23" i="7"/>
  <c r="N23" i="7"/>
  <c r="B23" i="7"/>
  <c r="F24" i="7"/>
  <c r="H24" i="7"/>
  <c r="J24" i="7"/>
  <c r="L24" i="7"/>
  <c r="N24" i="7"/>
  <c r="B24" i="7"/>
  <c r="F25" i="7"/>
  <c r="H25" i="7"/>
  <c r="J25" i="7"/>
  <c r="L25" i="7"/>
  <c r="N25" i="7"/>
  <c r="B25" i="7"/>
  <c r="F26" i="7"/>
  <c r="H26" i="7"/>
  <c r="J26" i="7"/>
  <c r="L26" i="7"/>
  <c r="N26" i="7"/>
  <c r="B26" i="7"/>
  <c r="F27" i="7"/>
  <c r="H27" i="7"/>
  <c r="J27" i="7"/>
  <c r="L27" i="7"/>
  <c r="N27" i="7"/>
  <c r="B27" i="7"/>
  <c r="F28" i="7"/>
  <c r="H28" i="7"/>
  <c r="J28" i="7"/>
  <c r="L28" i="7"/>
  <c r="N28" i="7"/>
  <c r="B28" i="7"/>
  <c r="F29" i="7"/>
  <c r="H29" i="7"/>
  <c r="J29" i="7"/>
  <c r="L29" i="7"/>
  <c r="N29" i="7"/>
  <c r="B29" i="7"/>
  <c r="F30" i="7"/>
  <c r="H30" i="7"/>
  <c r="J30" i="7"/>
  <c r="L30" i="7"/>
  <c r="N30" i="7"/>
  <c r="B30" i="7"/>
  <c r="F31" i="7"/>
  <c r="H31" i="7"/>
  <c r="J31" i="7"/>
  <c r="L31" i="7"/>
  <c r="N31" i="7"/>
  <c r="B31" i="7"/>
  <c r="F32" i="7"/>
  <c r="H32" i="7"/>
  <c r="J32" i="7"/>
  <c r="L32" i="7"/>
  <c r="N32" i="7"/>
  <c r="B32" i="7"/>
  <c r="F33" i="7"/>
  <c r="H33" i="7"/>
  <c r="J33" i="7"/>
  <c r="L33" i="7"/>
  <c r="N33" i="7"/>
  <c r="B33" i="7"/>
  <c r="F34" i="7"/>
  <c r="H34" i="7"/>
  <c r="J34" i="7"/>
  <c r="L34" i="7"/>
  <c r="N34" i="7"/>
  <c r="B34" i="7"/>
  <c r="F35" i="7"/>
  <c r="H35" i="7"/>
  <c r="J35" i="7"/>
  <c r="L35" i="7"/>
  <c r="N35" i="7"/>
  <c r="B35" i="7"/>
  <c r="F36" i="7"/>
  <c r="H36" i="7"/>
  <c r="J36" i="7"/>
  <c r="L36" i="7"/>
  <c r="N36" i="7"/>
  <c r="B36" i="7"/>
  <c r="F37" i="7"/>
  <c r="H37" i="7"/>
  <c r="J37" i="7"/>
  <c r="L37" i="7"/>
  <c r="N37" i="7"/>
  <c r="B37" i="7"/>
  <c r="F38" i="7"/>
  <c r="H38" i="7"/>
  <c r="J38" i="7"/>
  <c r="L38" i="7"/>
  <c r="N38" i="7"/>
  <c r="B38" i="7"/>
  <c r="F39" i="7"/>
  <c r="H39" i="7"/>
  <c r="J39" i="7"/>
  <c r="L39" i="7"/>
  <c r="N39" i="7"/>
  <c r="B39" i="7"/>
  <c r="F40" i="7"/>
  <c r="H40" i="7"/>
  <c r="J40" i="7"/>
  <c r="L40" i="7"/>
  <c r="N40" i="7"/>
  <c r="B40" i="7"/>
  <c r="F41" i="7"/>
  <c r="H41" i="7"/>
  <c r="J41" i="7"/>
  <c r="L41" i="7"/>
  <c r="N41" i="7"/>
  <c r="B41" i="7"/>
  <c r="F42" i="7"/>
  <c r="H42" i="7"/>
  <c r="J42" i="7"/>
  <c r="L42" i="7"/>
  <c r="N42" i="7"/>
  <c r="B42" i="7"/>
  <c r="F43" i="7"/>
  <c r="H43" i="7"/>
  <c r="J43" i="7"/>
  <c r="L43" i="7"/>
  <c r="N43" i="7"/>
  <c r="B43" i="7"/>
  <c r="F44" i="7"/>
  <c r="H44" i="7"/>
  <c r="J44" i="7"/>
  <c r="L44" i="7"/>
  <c r="N44" i="7"/>
  <c r="B44" i="7"/>
  <c r="F45" i="7"/>
  <c r="H45" i="7"/>
  <c r="J45" i="7"/>
  <c r="L45" i="7"/>
  <c r="N45" i="7"/>
  <c r="B45" i="7"/>
  <c r="F46" i="7"/>
  <c r="H46" i="7"/>
  <c r="J46" i="7"/>
  <c r="L46" i="7"/>
  <c r="N46" i="7"/>
  <c r="B46" i="7"/>
  <c r="F47" i="7"/>
  <c r="H47" i="7"/>
  <c r="J47" i="7"/>
  <c r="L47" i="7"/>
  <c r="N47" i="7"/>
  <c r="B47" i="7"/>
  <c r="F48" i="7"/>
  <c r="H48" i="7"/>
  <c r="J48" i="7"/>
  <c r="L48" i="7"/>
  <c r="N48" i="7"/>
  <c r="B48" i="7"/>
  <c r="F49" i="7"/>
  <c r="H49" i="7"/>
  <c r="J49" i="7"/>
  <c r="L49" i="7"/>
  <c r="N49" i="7"/>
  <c r="B49" i="7"/>
  <c r="F50" i="7"/>
  <c r="H50" i="7"/>
  <c r="J50" i="7"/>
  <c r="L50" i="7"/>
  <c r="N50" i="7"/>
  <c r="B50" i="7"/>
  <c r="F51" i="7"/>
  <c r="H51" i="7"/>
  <c r="J51" i="7"/>
  <c r="L51" i="7"/>
  <c r="N51" i="7"/>
  <c r="B51" i="7"/>
  <c r="F2" i="7"/>
  <c r="H2" i="7"/>
  <c r="J2" i="7"/>
  <c r="L2" i="7"/>
  <c r="N2" i="7"/>
  <c r="B2" i="7"/>
  <c r="H3" i="8"/>
  <c r="I3" i="8"/>
  <c r="H2" i="8"/>
  <c r="I2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H45" i="8"/>
  <c r="I45" i="8"/>
  <c r="H46" i="8"/>
  <c r="I46" i="8"/>
  <c r="H47" i="8"/>
  <c r="I47" i="8"/>
  <c r="H48" i="8"/>
  <c r="I48" i="8"/>
  <c r="H49" i="8"/>
  <c r="I49" i="8"/>
  <c r="H50" i="8"/>
  <c r="I50" i="8"/>
  <c r="H51" i="8"/>
  <c r="I51" i="8"/>
  <c r="H4" i="8"/>
  <c r="I4" i="8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62" i="5"/>
  <c r="I60" i="5"/>
  <c r="I61" i="5"/>
  <c r="I59" i="5"/>
  <c r="I54" i="5"/>
  <c r="I55" i="5"/>
  <c r="I56" i="5"/>
  <c r="I57" i="5"/>
  <c r="I58" i="5"/>
  <c r="I53" i="5"/>
  <c r="I49" i="5"/>
  <c r="I50" i="5"/>
  <c r="I51" i="5"/>
  <c r="I52" i="5"/>
  <c r="I48" i="5"/>
  <c r="I42" i="4"/>
  <c r="I43" i="4"/>
  <c r="I44" i="4"/>
  <c r="I45" i="4"/>
  <c r="I46" i="4"/>
  <c r="I47" i="4"/>
  <c r="I48" i="4"/>
  <c r="I49" i="4"/>
  <c r="I50" i="4"/>
  <c r="I51" i="4"/>
  <c r="I52" i="4"/>
  <c r="I53" i="4"/>
  <c r="I41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18" i="4"/>
  <c r="I19" i="4"/>
  <c r="I20" i="4"/>
  <c r="I21" i="4"/>
  <c r="I22" i="4"/>
  <c r="I23" i="4"/>
  <c r="I24" i="4"/>
  <c r="I25" i="4"/>
  <c r="I17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I45" i="2"/>
  <c r="I46" i="2"/>
  <c r="I47" i="2"/>
  <c r="I48" i="2"/>
  <c r="I49" i="2"/>
  <c r="I50" i="2"/>
  <c r="I5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2" i="2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" i="3"/>
  <c r="H54" i="3"/>
  <c r="H53" i="3"/>
  <c r="H52" i="3"/>
  <c r="H3" i="5"/>
  <c r="H4" i="5"/>
  <c r="H5" i="5"/>
  <c r="H6" i="5"/>
  <c r="H7" i="5"/>
  <c r="H8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2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2" i="2"/>
</calcChain>
</file>

<file path=xl/sharedStrings.xml><?xml version="1.0" encoding="utf-8"?>
<sst xmlns="http://schemas.openxmlformats.org/spreadsheetml/2006/main" count="3165" uniqueCount="429">
  <si>
    <t>width</t>
  </si>
  <si>
    <t>VW</t>
  </si>
  <si>
    <t>Golf I</t>
  </si>
  <si>
    <t>Golf I/II</t>
  </si>
  <si>
    <t>Golf II</t>
  </si>
  <si>
    <t>Golf II/III</t>
  </si>
  <si>
    <t>Golf III</t>
  </si>
  <si>
    <t>Golf III/IV</t>
  </si>
  <si>
    <t>Golf IV</t>
  </si>
  <si>
    <t>Golf IV/V</t>
  </si>
  <si>
    <t>Golf V</t>
  </si>
  <si>
    <t>Golf V/VI</t>
  </si>
  <si>
    <t>Golf VI</t>
  </si>
  <si>
    <t>Golf VI/VII</t>
  </si>
  <si>
    <t>Golf VII</t>
  </si>
  <si>
    <t>Golf VII/VIII</t>
  </si>
  <si>
    <t>Golf VIII</t>
  </si>
  <si>
    <t>3985-4040</t>
  </si>
  <si>
    <t>4149-4397</t>
  </si>
  <si>
    <t>4204-4206</t>
  </si>
  <si>
    <t>4199-4534</t>
  </si>
  <si>
    <t>4255-4586</t>
  </si>
  <si>
    <t>4284-4644</t>
  </si>
  <si>
    <t>1665-1680</t>
  </si>
  <si>
    <t>1695-1710</t>
  </si>
  <si>
    <t>1779-1786</t>
  </si>
  <si>
    <t>Polo I</t>
  </si>
  <si>
    <t>Polo I/II</t>
  </si>
  <si>
    <t>Polo II</t>
  </si>
  <si>
    <t>Polo II/III</t>
  </si>
  <si>
    <t>Polo III</t>
  </si>
  <si>
    <t>Polo III/IV</t>
  </si>
  <si>
    <t>Polo IV</t>
  </si>
  <si>
    <t>Polo IV/V</t>
  </si>
  <si>
    <t>Polo V</t>
  </si>
  <si>
    <t>Polo V/VI</t>
  </si>
  <si>
    <t>Polo VI</t>
  </si>
  <si>
    <t>3970-3983</t>
  </si>
  <si>
    <t>weightLow</t>
  </si>
  <si>
    <t>weightUp</t>
  </si>
  <si>
    <t>length</t>
  </si>
  <si>
    <t>type</t>
  </si>
  <si>
    <t>campany</t>
  </si>
  <si>
    <t>year</t>
  </si>
  <si>
    <t>Passat B1</t>
  </si>
  <si>
    <t>Passat B1/B2</t>
  </si>
  <si>
    <t>Passat B2</t>
  </si>
  <si>
    <t>Passat B2/B3</t>
  </si>
  <si>
    <t>Passat B3</t>
  </si>
  <si>
    <t>Passat B3/B4</t>
  </si>
  <si>
    <t>Passat B4</t>
  </si>
  <si>
    <t>Passat B4/B5</t>
  </si>
  <si>
    <t>Passat B5</t>
  </si>
  <si>
    <t>Passat B5/B6</t>
  </si>
  <si>
    <t>Passat B6</t>
  </si>
  <si>
    <t>Passat B6/B7</t>
  </si>
  <si>
    <t>Passat B7</t>
  </si>
  <si>
    <t>Passat B7/B8</t>
  </si>
  <si>
    <t>Passat B8</t>
  </si>
  <si>
    <t>Passat B9</t>
  </si>
  <si>
    <t>4435-4540</t>
  </si>
  <si>
    <t>4595-4605</t>
  </si>
  <si>
    <t>4669-4675</t>
  </si>
  <si>
    <t>4765-4774</t>
  </si>
  <si>
    <t>4769-4771</t>
  </si>
  <si>
    <t>4767-4777</t>
  </si>
  <si>
    <t>Peugeot</t>
  </si>
  <si>
    <t>3283-3600</t>
  </si>
  <si>
    <t>104/205</t>
  </si>
  <si>
    <t>205/206</t>
  </si>
  <si>
    <t>3822-4188</t>
  </si>
  <si>
    <t>1652-1673</t>
  </si>
  <si>
    <t>206/207</t>
  </si>
  <si>
    <t>4030-4156</t>
  </si>
  <si>
    <t>207/208</t>
  </si>
  <si>
    <t>3962-3973</t>
  </si>
  <si>
    <t>208/208 II</t>
  </si>
  <si>
    <t>208 II</t>
  </si>
  <si>
    <t>4240-4260</t>
  </si>
  <si>
    <t>1630-1640</t>
  </si>
  <si>
    <t>305/309</t>
  </si>
  <si>
    <t>309/306</t>
  </si>
  <si>
    <t>3995-4232</t>
  </si>
  <si>
    <t>1680-1683</t>
  </si>
  <si>
    <t>306/307</t>
  </si>
  <si>
    <t>4202-4432</t>
  </si>
  <si>
    <t>1730-1759</t>
  </si>
  <si>
    <t>307/308</t>
  </si>
  <si>
    <t>4276-4440</t>
  </si>
  <si>
    <t>1815-1817</t>
  </si>
  <si>
    <t>308/308 II</t>
  </si>
  <si>
    <t>308 II</t>
  </si>
  <si>
    <t>4253-4590</t>
  </si>
  <si>
    <t>308 II/III</t>
  </si>
  <si>
    <t>308 III</t>
  </si>
  <si>
    <t>4367-4636</t>
  </si>
  <si>
    <t>4600-4900</t>
  </si>
  <si>
    <t>4792-4830</t>
  </si>
  <si>
    <t>4676-4820</t>
  </si>
  <si>
    <t>1811-1870</t>
  </si>
  <si>
    <t>407/406</t>
  </si>
  <si>
    <t>4555-4736</t>
  </si>
  <si>
    <t>1764-1780</t>
  </si>
  <si>
    <t>406/405</t>
  </si>
  <si>
    <t>1695-1715</t>
  </si>
  <si>
    <t>508 I/II</t>
  </si>
  <si>
    <t>508 II</t>
  </si>
  <si>
    <t>4750-4870</t>
  </si>
  <si>
    <t>1855-1859</t>
  </si>
  <si>
    <t>508/607</t>
  </si>
  <si>
    <t>4676-4821</t>
  </si>
  <si>
    <t>4676-4822</t>
  </si>
  <si>
    <t>1811-1871</t>
  </si>
  <si>
    <t>1811-1872</t>
  </si>
  <si>
    <t>weightHigh</t>
  </si>
  <si>
    <t>Toyota</t>
  </si>
  <si>
    <t>Corolla (E30)</t>
  </si>
  <si>
    <t>Corolla (E30/E70)</t>
  </si>
  <si>
    <t>Corolla (E70)</t>
  </si>
  <si>
    <t>4050-4240</t>
  </si>
  <si>
    <t>1610-1625</t>
  </si>
  <si>
    <t>Corolla (E70/E80)</t>
  </si>
  <si>
    <t>Corolla (E90)</t>
  </si>
  <si>
    <t>4325-4374</t>
  </si>
  <si>
    <t>1656-1666</t>
  </si>
  <si>
    <t>Corolla (E90/E100)</t>
  </si>
  <si>
    <t>Corolla (E100)</t>
  </si>
  <si>
    <t>4095-4275</t>
  </si>
  <si>
    <t>1685-1695</t>
  </si>
  <si>
    <t>Corolla (E100/E110)</t>
  </si>
  <si>
    <t>Corolla (E110)</t>
  </si>
  <si>
    <t>4120-4340</t>
  </si>
  <si>
    <t>Corolla (E110/E120)</t>
  </si>
  <si>
    <t>Corolla (E120)</t>
  </si>
  <si>
    <t>4390-4529</t>
  </si>
  <si>
    <t>1695-1705</t>
  </si>
  <si>
    <t>Corolla (E140)</t>
  </si>
  <si>
    <t>Corolla (E120/E140)</t>
  </si>
  <si>
    <t>4410-4572</t>
  </si>
  <si>
    <t>1695-1760</t>
  </si>
  <si>
    <t>Corolla (E170/E180)</t>
  </si>
  <si>
    <t>4620-4650</t>
  </si>
  <si>
    <t>Corolla (E210)</t>
  </si>
  <si>
    <t>4495-4720</t>
  </si>
  <si>
    <t>1745-1790</t>
  </si>
  <si>
    <t>BMW</t>
  </si>
  <si>
    <t>3 Series (E21)</t>
  </si>
  <si>
    <t>4355-4508</t>
  </si>
  <si>
    <t>3 Series (E30)</t>
  </si>
  <si>
    <t>3 Series (E21/E30)</t>
  </si>
  <si>
    <t>4320-4460</t>
  </si>
  <si>
    <t>3 Series (E36)</t>
  </si>
  <si>
    <t>3 Series (E30/E36)</t>
  </si>
  <si>
    <t>3 Series (E46)</t>
  </si>
  <si>
    <t>3 Series (E36/E46)</t>
  </si>
  <si>
    <t>4470-4490</t>
  </si>
  <si>
    <t>1740-1760</t>
  </si>
  <si>
    <t>3 Series (E90)</t>
  </si>
  <si>
    <t>4520-4610</t>
  </si>
  <si>
    <t>1780-1820</t>
  </si>
  <si>
    <t>3 Series (F30)</t>
  </si>
  <si>
    <t>3 Series (E90/F30)</t>
  </si>
  <si>
    <t>4624-4824</t>
  </si>
  <si>
    <t>1811-1828</t>
  </si>
  <si>
    <t>3 Series (G20)</t>
  </si>
  <si>
    <t>3 Series (F30/G20)</t>
  </si>
  <si>
    <t>4709-4829</t>
  </si>
  <si>
    <t>5 Series (E12)</t>
  </si>
  <si>
    <t>5 Series (E28)</t>
  </si>
  <si>
    <t>5 Series (E34)</t>
  </si>
  <si>
    <t>5 Series (E39)</t>
  </si>
  <si>
    <t>4775-4805</t>
  </si>
  <si>
    <t>5 Series (E60)</t>
  </si>
  <si>
    <t>4843-4983</t>
  </si>
  <si>
    <t>5 Series (F10)</t>
  </si>
  <si>
    <t>5 Series (E60/F10)</t>
  </si>
  <si>
    <t>4899-5039</t>
  </si>
  <si>
    <t>5 Series (G30)</t>
  </si>
  <si>
    <t>4936-5092</t>
  </si>
  <si>
    <t>1858-1868</t>
  </si>
  <si>
    <t>7 Series (E23)</t>
  </si>
  <si>
    <t>4860-5014</t>
  </si>
  <si>
    <t>7 Series (E32)</t>
  </si>
  <si>
    <t>4910-5029</t>
  </si>
  <si>
    <t>7 Series (E38)</t>
  </si>
  <si>
    <t>4985-5124</t>
  </si>
  <si>
    <t>7 Series (E65)</t>
  </si>
  <si>
    <t>7 Series (E38/E65)</t>
  </si>
  <si>
    <t>5029-5169</t>
  </si>
  <si>
    <t>7 Series (F01)</t>
  </si>
  <si>
    <t>7 Series (E65/F01)</t>
  </si>
  <si>
    <t>5072-5212</t>
  </si>
  <si>
    <t>7 Series (G11)</t>
  </si>
  <si>
    <t>5098-5268</t>
  </si>
  <si>
    <t>7 Series (G70)</t>
  </si>
  <si>
    <t>Year</t>
  </si>
  <si>
    <t>Range</t>
  </si>
  <si>
    <t>InternalKey</t>
  </si>
  <si>
    <t>V0101010101</t>
  </si>
  <si>
    <t>V0101010102</t>
  </si>
  <si>
    <t>V0101010103</t>
  </si>
  <si>
    <t>V0101010104</t>
  </si>
  <si>
    <t>V0101010105</t>
  </si>
  <si>
    <t>V0101010106</t>
  </si>
  <si>
    <t>vPetrolStandard</t>
  </si>
  <si>
    <t>vPetrolA</t>
  </si>
  <si>
    <t>vPetrolB</t>
  </si>
  <si>
    <t>vPetrolC</t>
  </si>
  <si>
    <t>vPetrolE</t>
  </si>
  <si>
    <t>vPetrolD</t>
  </si>
  <si>
    <t>vPetrolF</t>
  </si>
  <si>
    <t>V0101010202</t>
  </si>
  <si>
    <t>V0101010201</t>
  </si>
  <si>
    <t>V0101010203</t>
  </si>
  <si>
    <t>V0101010204</t>
  </si>
  <si>
    <t>V0101010205</t>
  </si>
  <si>
    <t>V0101010206</t>
  </si>
  <si>
    <t>vPetrolJA</t>
  </si>
  <si>
    <t>vPetrolJB</t>
  </si>
  <si>
    <t>vPetrolJC</t>
  </si>
  <si>
    <t>vPetrolJD</t>
  </si>
  <si>
    <t>vPetrolJE</t>
  </si>
  <si>
    <t>vPetrolJF</t>
  </si>
  <si>
    <t>3 Series (E46/E90)</t>
  </si>
  <si>
    <t xml:space="preserve">I </t>
  </si>
  <si>
    <t xml:space="preserve">The </t>
  </si>
  <si>
    <t>Weight Standard</t>
  </si>
  <si>
    <t>Weight Segment A</t>
  </si>
  <si>
    <t>Weight Segment B</t>
  </si>
  <si>
    <t>Weight Segment C</t>
  </si>
  <si>
    <t>MeanWeight</t>
  </si>
  <si>
    <t>MeanWeight Segement B</t>
  </si>
  <si>
    <t>Weight Segment D</t>
  </si>
  <si>
    <t>Mein Weight</t>
  </si>
  <si>
    <t>Mein Weight Segment D</t>
  </si>
  <si>
    <t>Mean Weight</t>
  </si>
  <si>
    <t>Mean Weigth Segment E</t>
  </si>
  <si>
    <t>Weight Segment E</t>
  </si>
  <si>
    <t>Weight Segment F</t>
  </si>
  <si>
    <t>Mean Weight Segment F</t>
  </si>
  <si>
    <t>FuturamKey-Petrol</t>
  </si>
  <si>
    <t>Standard Weight Rang</t>
  </si>
  <si>
    <t>Segement A Weight Range</t>
  </si>
  <si>
    <t>Segment B Weight Range</t>
  </si>
  <si>
    <t>Segment C Weight Rang</t>
  </si>
  <si>
    <t>Segment D Weight Range</t>
  </si>
  <si>
    <t>Segment E Weight Range</t>
  </si>
  <si>
    <t>Segment F Weight Range</t>
  </si>
  <si>
    <t>JRC_V01010001</t>
  </si>
  <si>
    <t>V0101010101;V0101010102</t>
  </si>
  <si>
    <t>V0101010101;V0101010102;V0101010103</t>
  </si>
  <si>
    <t>JRC_V01010101</t>
  </si>
  <si>
    <t>JRC_V01010201</t>
  </si>
  <si>
    <t>JRC_V01010301</t>
  </si>
  <si>
    <t>V0101010101;V0101010201</t>
  </si>
  <si>
    <t>JRC_V01010002</t>
  </si>
  <si>
    <t>JRC_V01010102</t>
  </si>
  <si>
    <t>JRC_V01010203</t>
  </si>
  <si>
    <t>JRC_V01010304</t>
  </si>
  <si>
    <t>JRC_V01010202</t>
  </si>
  <si>
    <t>JRC_V01010302</t>
  </si>
  <si>
    <t>V0101010104;V0101010103</t>
  </si>
  <si>
    <t>V0101010103;V0101010102</t>
  </si>
  <si>
    <t>V0101010102;V0101010202</t>
  </si>
  <si>
    <t>JRC_V01010003</t>
  </si>
  <si>
    <t>JRC_V01010103</t>
  </si>
  <si>
    <t>JRC_V01010303</t>
  </si>
  <si>
    <t>V0101010103;V0101010203</t>
  </si>
  <si>
    <t>V0101010103;V0101010102;V0101010203;V0101010202</t>
  </si>
  <si>
    <t>JRC_V01010004</t>
  </si>
  <si>
    <t>JRC_V01010104</t>
  </si>
  <si>
    <t>JRC_V01010204</t>
  </si>
  <si>
    <t>V0101010106;V0101010105</t>
  </si>
  <si>
    <t>V0101010106;V0101010105;V0101010104</t>
  </si>
  <si>
    <t>V0101010106;V0101010105;V0101010104;V0101010206;V0101010205;V0101010204</t>
  </si>
  <si>
    <t xml:space="preserve">It includes all JRC codes for petroleum Cars </t>
  </si>
  <si>
    <t>V0101010100 - Standard Pertoleum Car</t>
  </si>
  <si>
    <t>V0101010101;V0101010103</t>
  </si>
  <si>
    <t>JRC_V01070000</t>
  </si>
  <si>
    <t>vDieselStandard</t>
  </si>
  <si>
    <t>vDieselA</t>
  </si>
  <si>
    <t>vDieselB</t>
  </si>
  <si>
    <t>vDieselC</t>
  </si>
  <si>
    <t>vDieselD</t>
  </si>
  <si>
    <t>vDieselE</t>
  </si>
  <si>
    <t>vDieselF</t>
  </si>
  <si>
    <t>vDieselJA</t>
  </si>
  <si>
    <t>vDieselJB</t>
  </si>
  <si>
    <t>vDieselJC</t>
  </si>
  <si>
    <t>vDieselJD</t>
  </si>
  <si>
    <t>vDieselJE</t>
  </si>
  <si>
    <t>vDieselJF</t>
  </si>
  <si>
    <t>V0101010000</t>
  </si>
  <si>
    <t>V0201020000</t>
  </si>
  <si>
    <t>V0201020101</t>
  </si>
  <si>
    <t>V0201020102</t>
  </si>
  <si>
    <t>V0201020103</t>
  </si>
  <si>
    <t>V0201020104</t>
  </si>
  <si>
    <t>V0201020105</t>
  </si>
  <si>
    <t>V0201020106</t>
  </si>
  <si>
    <t>V0201020201</t>
  </si>
  <si>
    <t>V0201020203</t>
  </si>
  <si>
    <t>V0201020202</t>
  </si>
  <si>
    <t>V0201020204</t>
  </si>
  <si>
    <t>V0201020205</t>
  </si>
  <si>
    <t>V0201020206</t>
  </si>
  <si>
    <t>vBEVA</t>
  </si>
  <si>
    <t>vBEVStandard</t>
  </si>
  <si>
    <t>vBEVB</t>
  </si>
  <si>
    <t>vBEVC</t>
  </si>
  <si>
    <t>vBEVD</t>
  </si>
  <si>
    <t>vBEVE</t>
  </si>
  <si>
    <t>vBEVF</t>
  </si>
  <si>
    <t>vBEVJA</t>
  </si>
  <si>
    <t>vBEVJB</t>
  </si>
  <si>
    <t>vBEVJC</t>
  </si>
  <si>
    <t>vBEVJD</t>
  </si>
  <si>
    <t>vBEVJE</t>
  </si>
  <si>
    <t>vBEVJF</t>
  </si>
  <si>
    <t>V0301030000</t>
  </si>
  <si>
    <t>V0301030101</t>
  </si>
  <si>
    <t>V0301030102</t>
  </si>
  <si>
    <t>V0301030103</t>
  </si>
  <si>
    <t>V0301030104</t>
  </si>
  <si>
    <t>V0301030105</t>
  </si>
  <si>
    <t>V0301030106</t>
  </si>
  <si>
    <t>V0301020301</t>
  </si>
  <si>
    <t>V0301030202</t>
  </si>
  <si>
    <t>V0301030203</t>
  </si>
  <si>
    <t>V0301030204</t>
  </si>
  <si>
    <t>V0301030205</t>
  </si>
  <si>
    <t>V0301030206</t>
  </si>
  <si>
    <t>V0301030000;V0301030101;V0301030102;V0301030103;V0301030104;V0301030105;V0301030106;V0301030201;V0301030202;V0301030203;V0301030204;V0301030205;V0301030206</t>
  </si>
  <si>
    <t>V0301030101;V0301030201</t>
  </si>
  <si>
    <t>JRC_V01070001</t>
  </si>
  <si>
    <t>JRC_V01070002</t>
  </si>
  <si>
    <t>JRC_V01070003</t>
  </si>
  <si>
    <t>JRC_V01070004</t>
  </si>
  <si>
    <t>V0301030102;V0301030202</t>
  </si>
  <si>
    <t>V0301030102;V0301030103;V0301030104;V0301030105;V0301030106;V0301030202;V0301030203;V0301030204;V0301030205;V0301030206</t>
  </si>
  <si>
    <t>JRC_V01070400</t>
  </si>
  <si>
    <t>JRC_V01070401</t>
  </si>
  <si>
    <t>JRC_V01070402</t>
  </si>
  <si>
    <t>JRC_V01070403</t>
  </si>
  <si>
    <t>JRC_V01070304</t>
  </si>
  <si>
    <t>vHEVStandard</t>
  </si>
  <si>
    <t>vHEVA</t>
  </si>
  <si>
    <t>vHEVB</t>
  </si>
  <si>
    <t>vHEVC</t>
  </si>
  <si>
    <t>vHEVD</t>
  </si>
  <si>
    <t>vHEVE</t>
  </si>
  <si>
    <t>vHEVF</t>
  </si>
  <si>
    <t>vHEVJA</t>
  </si>
  <si>
    <t>vHEVJB</t>
  </si>
  <si>
    <t>vHEVJC</t>
  </si>
  <si>
    <t>vHEVJD</t>
  </si>
  <si>
    <t>vHEVJE</t>
  </si>
  <si>
    <t>vHEVJF</t>
  </si>
  <si>
    <t>V0401010000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</si>
  <si>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</si>
  <si>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</si>
  <si>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</si>
  <si>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</si>
  <si>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</si>
  <si>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</si>
  <si>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</si>
  <si>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</si>
  <si>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</si>
  <si>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</si>
  <si>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</si>
  <si>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</si>
  <si>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JRC_V01050000</t>
  </si>
  <si>
    <t>JRC_V01050101</t>
  </si>
  <si>
    <t>JRC_V01050102</t>
  </si>
  <si>
    <t>JRC_V01050103</t>
  </si>
  <si>
    <t>JRC_V01050104</t>
  </si>
  <si>
    <t>JRC_V01050201</t>
  </si>
  <si>
    <t>JRC_V01050202</t>
  </si>
  <si>
    <t>JRC_V01050203</t>
  </si>
  <si>
    <t>JRC_V01050204</t>
  </si>
  <si>
    <t>JRC_V01050301</t>
  </si>
  <si>
    <t>JRC_V01050302</t>
  </si>
  <si>
    <t>JRC_V01050303</t>
  </si>
  <si>
    <t>JRC_V01050304</t>
  </si>
  <si>
    <t>V0401010000;V0401010101;V04010100102;V0401010103;V0401010104;V0401010105;V0401010106;V0401010201;V0401010202;V0401010203;V0401010204;V0401010205;V0401010206</t>
  </si>
  <si>
    <t>V0401010101;V0401010201</t>
  </si>
  <si>
    <t>V0401010102;V0401010103</t>
  </si>
  <si>
    <t>V0401010102;V0401010103;V0401010202;V0401010203</t>
  </si>
  <si>
    <t>V0401010102;V0401010202</t>
  </si>
  <si>
    <t>V0401010104;V0401010204</t>
  </si>
  <si>
    <t>V0401010105;V0401010106</t>
  </si>
  <si>
    <t>V0401010104;V0401010105;V0401010106</t>
  </si>
  <si>
    <t>V0401010105;V0401010106;V0401010205;V0401010206</t>
  </si>
  <si>
    <t>V0401010104;V0401010105;V0401010106;V0401010204;V0401010205;V0401010206</t>
  </si>
  <si>
    <t>V0401010103;V0401010104</t>
  </si>
  <si>
    <t>V0401010103;V0401010203;V0401010104;V0401010204</t>
  </si>
  <si>
    <t>JRC_V01060101</t>
  </si>
  <si>
    <t>JRC_V01060000</t>
  </si>
  <si>
    <t>JRC_V01060102</t>
  </si>
  <si>
    <t>JRC_V01060103</t>
  </si>
  <si>
    <t>JRC_V01060104</t>
  </si>
  <si>
    <t>JRC_V01060201</t>
  </si>
  <si>
    <t>JRC_V01060202</t>
  </si>
  <si>
    <t>JRC_V01060203</t>
  </si>
  <si>
    <t>JRC_V01060204</t>
  </si>
  <si>
    <t>JRC_V01060301</t>
  </si>
  <si>
    <t>JRC_V01060302</t>
  </si>
  <si>
    <t>JRC_V01060303</t>
  </si>
  <si>
    <t>JRC_V01060304</t>
  </si>
  <si>
    <t>V0501030000;V0501030101;V05010300102;V0501010303;V0501030104;V0501030105;V0501030106;V0501030201;V0501030202;V0501030203;V0501030204;V0501030205;V0501030206</t>
  </si>
  <si>
    <t>V0501030101</t>
  </si>
  <si>
    <t>V0501030102;V0501030103</t>
  </si>
  <si>
    <t>V0501030102</t>
  </si>
  <si>
    <t>V0501030104</t>
  </si>
  <si>
    <t>V0501030103;V0501030104</t>
  </si>
  <si>
    <t>V0501030104;V0501030105;V0501030106</t>
  </si>
  <si>
    <t>V0501030101;V0501030201</t>
  </si>
  <si>
    <t>V0501030102;V0501030103;V0501030202;V0501030203</t>
  </si>
  <si>
    <t>V0501030102;V0501030202</t>
  </si>
  <si>
    <t>V0501030104;V0501030204</t>
  </si>
  <si>
    <t>V0501030103;V0501030203;V0501030104;V0501030204</t>
  </si>
  <si>
    <t>V0501030104;V0501030105;V0501030106;V0501030204;V0501030205;V0501030206</t>
  </si>
  <si>
    <t>StandardMass</t>
  </si>
  <si>
    <t>SegmentAMass</t>
  </si>
  <si>
    <t>SegmentBMass</t>
  </si>
  <si>
    <t>SegmentCMass</t>
  </si>
  <si>
    <t>SegmentDMass</t>
  </si>
  <si>
    <t>SegmentEMass</t>
  </si>
  <si>
    <t>SegmentFMass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</si>
</sst>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Yu Gothic"/>
      <family val="2"/>
      <charset val="12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wrapText="1"/>
    </xf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1695-20A3-B945-9633-B3262AA53FA0}">
  <dimension ref="A1"/>
  <sheetViews>
    <sheetView workbookViewId="0"/>
  </sheetViews>
  <sheetFormatPr baseColWidth="10" defaultColWidth="10.83203125" defaultRowHeight="16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FF13-0295-3B45-88B3-A7153E2CB27B}">
  <dimension ref="A1:I104"/>
  <sheetViews>
    <sheetView topLeftCell="A24" zoomScale="160" zoomScaleNormal="160" workbookViewId="0">
      <selection activeCell="A7" sqref="A7:XFD7"/>
    </sheetView>
  </sheetViews>
  <sheetFormatPr baseColWidth="10" defaultColWidth="10.83203125" defaultRowHeight="16" x14ac:dyDescent="0.2"/>
  <sheetData>
    <row r="1" spans="1:9" x14ac:dyDescent="0.2">
      <c r="A1" t="s">
        <v>43</v>
      </c>
      <c r="B1" t="s">
        <v>42</v>
      </c>
      <c r="C1" t="s">
        <v>41</v>
      </c>
      <c r="D1" t="s">
        <v>40</v>
      </c>
      <c r="E1" t="s">
        <v>0</v>
      </c>
      <c r="F1" t="s">
        <v>38</v>
      </c>
      <c r="G1" t="s">
        <v>39</v>
      </c>
      <c r="H1" t="s">
        <v>230</v>
      </c>
      <c r="I1" t="s">
        <v>231</v>
      </c>
    </row>
    <row r="2" spans="1:9" x14ac:dyDescent="0.2">
      <c r="A2">
        <v>1975</v>
      </c>
      <c r="B2" t="s">
        <v>1</v>
      </c>
      <c r="C2" t="s">
        <v>26</v>
      </c>
      <c r="D2">
        <v>3512</v>
      </c>
      <c r="E2">
        <v>1560</v>
      </c>
      <c r="F2">
        <v>685</v>
      </c>
      <c r="G2">
        <v>700</v>
      </c>
      <c r="H2">
        <f>AVERAGE(F2:G2)</f>
        <v>692.5</v>
      </c>
      <c r="I2">
        <f>AVERAGE(H2,H55)</f>
        <v>741.25</v>
      </c>
    </row>
    <row r="3" spans="1:9" x14ac:dyDescent="0.2">
      <c r="A3">
        <v>1976</v>
      </c>
      <c r="B3" t="s">
        <v>1</v>
      </c>
      <c r="C3" t="s">
        <v>26</v>
      </c>
      <c r="D3">
        <v>3512</v>
      </c>
      <c r="E3">
        <v>1560</v>
      </c>
      <c r="F3">
        <v>685</v>
      </c>
      <c r="G3">
        <v>700</v>
      </c>
      <c r="H3">
        <f t="shared" ref="H3:H66" si="0">AVERAGE(F3:G3)</f>
        <v>692.5</v>
      </c>
      <c r="I3">
        <f t="shared" ref="I3:I51" si="1">AVERAGE(H3,H56)</f>
        <v>741.25</v>
      </c>
    </row>
    <row r="4" spans="1:9" x14ac:dyDescent="0.2">
      <c r="A4">
        <v>1977</v>
      </c>
      <c r="B4" t="s">
        <v>1</v>
      </c>
      <c r="C4" t="s">
        <v>26</v>
      </c>
      <c r="D4">
        <v>3512</v>
      </c>
      <c r="E4">
        <v>1560</v>
      </c>
      <c r="F4">
        <v>685</v>
      </c>
      <c r="G4">
        <v>700</v>
      </c>
      <c r="H4">
        <f t="shared" si="0"/>
        <v>692.5</v>
      </c>
      <c r="I4">
        <f t="shared" si="1"/>
        <v>741.25</v>
      </c>
    </row>
    <row r="5" spans="1:9" x14ac:dyDescent="0.2">
      <c r="A5">
        <v>1978</v>
      </c>
      <c r="B5" t="s">
        <v>1</v>
      </c>
      <c r="C5" t="s">
        <v>26</v>
      </c>
      <c r="D5">
        <v>3512</v>
      </c>
      <c r="E5">
        <v>1560</v>
      </c>
      <c r="F5">
        <v>685</v>
      </c>
      <c r="G5">
        <v>700</v>
      </c>
      <c r="H5">
        <f t="shared" si="0"/>
        <v>692.5</v>
      </c>
      <c r="I5">
        <f t="shared" si="1"/>
        <v>741.25</v>
      </c>
    </row>
    <row r="6" spans="1:9" x14ac:dyDescent="0.2">
      <c r="A6">
        <v>1979</v>
      </c>
      <c r="B6" t="s">
        <v>1</v>
      </c>
      <c r="C6" t="s">
        <v>26</v>
      </c>
      <c r="D6">
        <v>3512</v>
      </c>
      <c r="E6">
        <v>1560</v>
      </c>
      <c r="F6">
        <v>685</v>
      </c>
      <c r="G6">
        <v>700</v>
      </c>
      <c r="H6">
        <f t="shared" si="0"/>
        <v>692.5</v>
      </c>
      <c r="I6">
        <f t="shared" si="1"/>
        <v>741.25</v>
      </c>
    </row>
    <row r="7" spans="1:9" x14ac:dyDescent="0.2">
      <c r="A7">
        <v>1980</v>
      </c>
      <c r="B7" t="s">
        <v>1</v>
      </c>
      <c r="C7" t="s">
        <v>26</v>
      </c>
      <c r="D7">
        <v>3512</v>
      </c>
      <c r="E7">
        <v>1560</v>
      </c>
      <c r="F7">
        <v>685</v>
      </c>
      <c r="G7">
        <v>700</v>
      </c>
      <c r="H7">
        <f t="shared" si="0"/>
        <v>692.5</v>
      </c>
      <c r="I7">
        <f t="shared" si="1"/>
        <v>741.25</v>
      </c>
    </row>
    <row r="8" spans="1:9" x14ac:dyDescent="0.2">
      <c r="A8">
        <v>1981</v>
      </c>
      <c r="B8" t="s">
        <v>1</v>
      </c>
      <c r="C8" t="s">
        <v>27</v>
      </c>
      <c r="D8">
        <v>3655</v>
      </c>
      <c r="E8">
        <v>1580</v>
      </c>
      <c r="F8">
        <v>725</v>
      </c>
      <c r="G8">
        <v>830</v>
      </c>
      <c r="H8">
        <f t="shared" si="0"/>
        <v>777.5</v>
      </c>
      <c r="I8">
        <f t="shared" si="1"/>
        <v>783.75</v>
      </c>
    </row>
    <row r="9" spans="1:9" x14ac:dyDescent="0.2">
      <c r="A9">
        <v>1982</v>
      </c>
      <c r="B9" t="s">
        <v>1</v>
      </c>
      <c r="C9" t="s">
        <v>28</v>
      </c>
      <c r="D9">
        <v>3655</v>
      </c>
      <c r="E9">
        <v>1580</v>
      </c>
      <c r="F9">
        <v>725</v>
      </c>
      <c r="G9">
        <v>830</v>
      </c>
      <c r="H9">
        <f t="shared" si="0"/>
        <v>777.5</v>
      </c>
      <c r="I9">
        <f t="shared" si="1"/>
        <v>783.75</v>
      </c>
    </row>
    <row r="10" spans="1:9" x14ac:dyDescent="0.2">
      <c r="A10">
        <v>1983</v>
      </c>
      <c r="B10" t="s">
        <v>1</v>
      </c>
      <c r="C10" t="s">
        <v>28</v>
      </c>
      <c r="D10">
        <v>3655</v>
      </c>
      <c r="E10">
        <v>1580</v>
      </c>
      <c r="F10">
        <v>725</v>
      </c>
      <c r="G10">
        <v>830</v>
      </c>
      <c r="H10">
        <f t="shared" si="0"/>
        <v>777.5</v>
      </c>
      <c r="I10">
        <f t="shared" si="1"/>
        <v>788.75</v>
      </c>
    </row>
    <row r="11" spans="1:9" x14ac:dyDescent="0.2">
      <c r="A11">
        <v>1984</v>
      </c>
      <c r="B11" t="s">
        <v>1</v>
      </c>
      <c r="C11" t="s">
        <v>28</v>
      </c>
      <c r="D11">
        <v>3655</v>
      </c>
      <c r="E11">
        <v>1580</v>
      </c>
      <c r="F11">
        <v>725</v>
      </c>
      <c r="G11">
        <v>830</v>
      </c>
      <c r="H11">
        <f t="shared" si="0"/>
        <v>777.5</v>
      </c>
      <c r="I11">
        <f t="shared" si="1"/>
        <v>788.75</v>
      </c>
    </row>
    <row r="12" spans="1:9" x14ac:dyDescent="0.2">
      <c r="A12">
        <v>1985</v>
      </c>
      <c r="B12" t="s">
        <v>1</v>
      </c>
      <c r="C12" t="s">
        <v>28</v>
      </c>
      <c r="D12">
        <v>3655</v>
      </c>
      <c r="E12">
        <v>1580</v>
      </c>
      <c r="F12">
        <v>725</v>
      </c>
      <c r="G12">
        <v>830</v>
      </c>
      <c r="H12">
        <f t="shared" si="0"/>
        <v>777.5</v>
      </c>
      <c r="I12">
        <f t="shared" si="1"/>
        <v>788.75</v>
      </c>
    </row>
    <row r="13" spans="1:9" x14ac:dyDescent="0.2">
      <c r="A13">
        <v>1986</v>
      </c>
      <c r="B13" t="s">
        <v>1</v>
      </c>
      <c r="C13" t="s">
        <v>28</v>
      </c>
      <c r="D13">
        <v>3655</v>
      </c>
      <c r="E13">
        <v>1580</v>
      </c>
      <c r="F13">
        <v>725</v>
      </c>
      <c r="G13">
        <v>830</v>
      </c>
      <c r="H13">
        <f t="shared" si="0"/>
        <v>777.5</v>
      </c>
      <c r="I13">
        <f t="shared" si="1"/>
        <v>788.75</v>
      </c>
    </row>
    <row r="14" spans="1:9" x14ac:dyDescent="0.2">
      <c r="A14">
        <v>1987</v>
      </c>
      <c r="B14" t="s">
        <v>1</v>
      </c>
      <c r="C14" t="s">
        <v>28</v>
      </c>
      <c r="D14">
        <v>3655</v>
      </c>
      <c r="E14">
        <v>1580</v>
      </c>
      <c r="F14">
        <v>725</v>
      </c>
      <c r="G14">
        <v>830</v>
      </c>
      <c r="H14">
        <f t="shared" si="0"/>
        <v>777.5</v>
      </c>
      <c r="I14">
        <f t="shared" si="1"/>
        <v>788.75</v>
      </c>
    </row>
    <row r="15" spans="1:9" x14ac:dyDescent="0.2">
      <c r="A15">
        <v>1988</v>
      </c>
      <c r="B15" t="s">
        <v>1</v>
      </c>
      <c r="C15" t="s">
        <v>28</v>
      </c>
      <c r="D15">
        <v>3655</v>
      </c>
      <c r="E15">
        <v>1580</v>
      </c>
      <c r="F15">
        <v>725</v>
      </c>
      <c r="G15">
        <v>830</v>
      </c>
      <c r="H15">
        <f t="shared" si="0"/>
        <v>777.5</v>
      </c>
      <c r="I15">
        <f t="shared" si="1"/>
        <v>788.75</v>
      </c>
    </row>
    <row r="16" spans="1:9" x14ac:dyDescent="0.2">
      <c r="A16">
        <v>1989</v>
      </c>
      <c r="B16" t="s">
        <v>1</v>
      </c>
      <c r="C16" t="s">
        <v>28</v>
      </c>
      <c r="D16">
        <v>3655</v>
      </c>
      <c r="E16">
        <v>1580</v>
      </c>
      <c r="F16">
        <v>725</v>
      </c>
      <c r="G16">
        <v>830</v>
      </c>
      <c r="H16">
        <f t="shared" si="0"/>
        <v>777.5</v>
      </c>
      <c r="I16">
        <f t="shared" si="1"/>
        <v>788.75</v>
      </c>
    </row>
    <row r="17" spans="1:9" x14ac:dyDescent="0.2">
      <c r="A17">
        <v>1990</v>
      </c>
      <c r="B17" t="s">
        <v>1</v>
      </c>
      <c r="C17" t="s">
        <v>29</v>
      </c>
      <c r="D17">
        <v>3715</v>
      </c>
      <c r="E17">
        <v>1655</v>
      </c>
      <c r="F17">
        <v>880</v>
      </c>
      <c r="G17">
        <v>1106</v>
      </c>
      <c r="H17">
        <f t="shared" si="0"/>
        <v>993</v>
      </c>
      <c r="I17">
        <f t="shared" si="1"/>
        <v>896.5</v>
      </c>
    </row>
    <row r="18" spans="1:9" x14ac:dyDescent="0.2">
      <c r="A18">
        <v>1991</v>
      </c>
      <c r="B18" t="s">
        <v>1</v>
      </c>
      <c r="C18" t="s">
        <v>30</v>
      </c>
      <c r="D18">
        <v>3715</v>
      </c>
      <c r="E18">
        <v>1655</v>
      </c>
      <c r="F18">
        <v>880</v>
      </c>
      <c r="G18">
        <v>1106</v>
      </c>
      <c r="H18">
        <f t="shared" si="0"/>
        <v>993</v>
      </c>
      <c r="I18">
        <f t="shared" si="1"/>
        <v>896.5</v>
      </c>
    </row>
    <row r="19" spans="1:9" x14ac:dyDescent="0.2">
      <c r="A19">
        <v>1992</v>
      </c>
      <c r="B19" t="s">
        <v>1</v>
      </c>
      <c r="C19" t="s">
        <v>30</v>
      </c>
      <c r="D19">
        <v>3715</v>
      </c>
      <c r="E19">
        <v>1655</v>
      </c>
      <c r="F19">
        <v>880</v>
      </c>
      <c r="G19">
        <v>1106</v>
      </c>
      <c r="H19">
        <f t="shared" si="0"/>
        <v>993</v>
      </c>
      <c r="I19">
        <f t="shared" si="1"/>
        <v>896.5</v>
      </c>
    </row>
    <row r="20" spans="1:9" x14ac:dyDescent="0.2">
      <c r="A20">
        <v>1993</v>
      </c>
      <c r="B20" t="s">
        <v>1</v>
      </c>
      <c r="C20" t="s">
        <v>30</v>
      </c>
      <c r="D20">
        <v>3715</v>
      </c>
      <c r="E20">
        <v>1655</v>
      </c>
      <c r="F20">
        <v>880</v>
      </c>
      <c r="G20">
        <v>1106</v>
      </c>
      <c r="H20">
        <f t="shared" si="0"/>
        <v>993</v>
      </c>
      <c r="I20">
        <f t="shared" si="1"/>
        <v>896.5</v>
      </c>
    </row>
    <row r="21" spans="1:9" x14ac:dyDescent="0.2">
      <c r="A21">
        <v>1994</v>
      </c>
      <c r="B21" t="s">
        <v>1</v>
      </c>
      <c r="C21" t="s">
        <v>30</v>
      </c>
      <c r="D21">
        <v>3715</v>
      </c>
      <c r="E21">
        <v>1655</v>
      </c>
      <c r="F21">
        <v>880</v>
      </c>
      <c r="G21">
        <v>1106</v>
      </c>
      <c r="H21">
        <f t="shared" si="0"/>
        <v>993</v>
      </c>
      <c r="I21">
        <f t="shared" si="1"/>
        <v>896.5</v>
      </c>
    </row>
    <row r="22" spans="1:9" x14ac:dyDescent="0.2">
      <c r="A22">
        <v>1995</v>
      </c>
      <c r="B22" t="s">
        <v>1</v>
      </c>
      <c r="C22" t="s">
        <v>30</v>
      </c>
      <c r="D22">
        <v>3715</v>
      </c>
      <c r="E22">
        <v>1655</v>
      </c>
      <c r="F22">
        <v>880</v>
      </c>
      <c r="G22">
        <v>1106</v>
      </c>
      <c r="H22">
        <f t="shared" si="0"/>
        <v>993</v>
      </c>
      <c r="I22">
        <f t="shared" si="1"/>
        <v>896.5</v>
      </c>
    </row>
    <row r="23" spans="1:9" x14ac:dyDescent="0.2">
      <c r="A23">
        <v>1996</v>
      </c>
      <c r="B23" t="s">
        <v>1</v>
      </c>
      <c r="C23" t="s">
        <v>30</v>
      </c>
      <c r="D23">
        <v>3715</v>
      </c>
      <c r="E23">
        <v>1655</v>
      </c>
      <c r="F23">
        <v>880</v>
      </c>
      <c r="G23">
        <v>1106</v>
      </c>
      <c r="H23">
        <f t="shared" si="0"/>
        <v>993</v>
      </c>
      <c r="I23">
        <f t="shared" si="1"/>
        <v>896.5</v>
      </c>
    </row>
    <row r="24" spans="1:9" x14ac:dyDescent="0.2">
      <c r="A24">
        <v>1997</v>
      </c>
      <c r="B24" t="s">
        <v>1</v>
      </c>
      <c r="C24" t="s">
        <v>30</v>
      </c>
      <c r="D24">
        <v>3715</v>
      </c>
      <c r="E24">
        <v>1655</v>
      </c>
      <c r="F24">
        <v>880</v>
      </c>
      <c r="G24">
        <v>1106</v>
      </c>
      <c r="H24">
        <f t="shared" si="0"/>
        <v>993</v>
      </c>
      <c r="I24">
        <f t="shared" si="1"/>
        <v>896.5</v>
      </c>
    </row>
    <row r="25" spans="1:9" x14ac:dyDescent="0.2">
      <c r="A25">
        <v>1998</v>
      </c>
      <c r="B25" t="s">
        <v>1</v>
      </c>
      <c r="C25" t="s">
        <v>30</v>
      </c>
      <c r="D25">
        <v>3715</v>
      </c>
      <c r="E25">
        <v>1655</v>
      </c>
      <c r="F25">
        <v>880</v>
      </c>
      <c r="G25">
        <v>1106</v>
      </c>
      <c r="H25">
        <f t="shared" si="0"/>
        <v>993</v>
      </c>
      <c r="I25">
        <f t="shared" si="1"/>
        <v>1064</v>
      </c>
    </row>
    <row r="26" spans="1:9" x14ac:dyDescent="0.2">
      <c r="A26">
        <v>1999</v>
      </c>
      <c r="B26" t="s">
        <v>1</v>
      </c>
      <c r="C26" t="s">
        <v>31</v>
      </c>
      <c r="D26">
        <v>3897</v>
      </c>
      <c r="E26">
        <v>1650</v>
      </c>
      <c r="F26">
        <v>980</v>
      </c>
      <c r="G26">
        <v>1155</v>
      </c>
      <c r="H26">
        <f t="shared" si="0"/>
        <v>1067.5</v>
      </c>
      <c r="I26">
        <f t="shared" si="1"/>
        <v>1101.25</v>
      </c>
    </row>
    <row r="27" spans="1:9" x14ac:dyDescent="0.2">
      <c r="A27">
        <v>2000</v>
      </c>
      <c r="B27" t="s">
        <v>1</v>
      </c>
      <c r="C27" t="s">
        <v>32</v>
      </c>
      <c r="D27">
        <v>3897</v>
      </c>
      <c r="E27">
        <v>1650</v>
      </c>
      <c r="F27">
        <v>980</v>
      </c>
      <c r="G27">
        <v>1155</v>
      </c>
      <c r="H27">
        <f t="shared" si="0"/>
        <v>1067.5</v>
      </c>
      <c r="I27">
        <f t="shared" si="1"/>
        <v>1101.25</v>
      </c>
    </row>
    <row r="28" spans="1:9" x14ac:dyDescent="0.2">
      <c r="A28">
        <v>2001</v>
      </c>
      <c r="B28" t="s">
        <v>1</v>
      </c>
      <c r="C28" t="s">
        <v>32</v>
      </c>
      <c r="D28">
        <v>3897</v>
      </c>
      <c r="E28">
        <v>1650</v>
      </c>
      <c r="F28">
        <v>980</v>
      </c>
      <c r="G28">
        <v>1155</v>
      </c>
      <c r="H28">
        <f t="shared" si="0"/>
        <v>1067.5</v>
      </c>
      <c r="I28">
        <f t="shared" si="1"/>
        <v>1101.25</v>
      </c>
    </row>
    <row r="29" spans="1:9" x14ac:dyDescent="0.2">
      <c r="A29">
        <v>2002</v>
      </c>
      <c r="B29" t="s">
        <v>1</v>
      </c>
      <c r="C29" t="s">
        <v>32</v>
      </c>
      <c r="D29">
        <v>3897</v>
      </c>
      <c r="E29">
        <v>1650</v>
      </c>
      <c r="F29">
        <v>980</v>
      </c>
      <c r="G29">
        <v>1155</v>
      </c>
      <c r="H29">
        <f t="shared" si="0"/>
        <v>1067.5</v>
      </c>
      <c r="I29">
        <f t="shared" si="1"/>
        <v>1101.25</v>
      </c>
    </row>
    <row r="30" spans="1:9" x14ac:dyDescent="0.2">
      <c r="A30">
        <v>2003</v>
      </c>
      <c r="B30" t="s">
        <v>1</v>
      </c>
      <c r="C30" t="s">
        <v>32</v>
      </c>
      <c r="D30">
        <v>3897</v>
      </c>
      <c r="E30">
        <v>1650</v>
      </c>
      <c r="F30">
        <v>980</v>
      </c>
      <c r="G30">
        <v>1155</v>
      </c>
      <c r="H30">
        <f t="shared" si="0"/>
        <v>1067.5</v>
      </c>
      <c r="I30">
        <f t="shared" si="1"/>
        <v>1101.25</v>
      </c>
    </row>
    <row r="31" spans="1:9" x14ac:dyDescent="0.2">
      <c r="A31">
        <v>2004</v>
      </c>
      <c r="B31" t="s">
        <v>1</v>
      </c>
      <c r="C31" t="s">
        <v>32</v>
      </c>
      <c r="D31">
        <v>3897</v>
      </c>
      <c r="E31">
        <v>1650</v>
      </c>
      <c r="F31">
        <v>980</v>
      </c>
      <c r="G31">
        <v>1155</v>
      </c>
      <c r="H31">
        <f t="shared" si="0"/>
        <v>1067.5</v>
      </c>
      <c r="I31">
        <f t="shared" si="1"/>
        <v>1101.25</v>
      </c>
    </row>
    <row r="32" spans="1:9" x14ac:dyDescent="0.2">
      <c r="A32">
        <v>2005</v>
      </c>
      <c r="B32" t="s">
        <v>1</v>
      </c>
      <c r="C32" t="s">
        <v>32</v>
      </c>
      <c r="D32">
        <v>3897</v>
      </c>
      <c r="E32">
        <v>1650</v>
      </c>
      <c r="F32">
        <v>980</v>
      </c>
      <c r="G32">
        <v>1155</v>
      </c>
      <c r="H32">
        <f t="shared" si="0"/>
        <v>1067.5</v>
      </c>
      <c r="I32">
        <f t="shared" si="1"/>
        <v>1101.25</v>
      </c>
    </row>
    <row r="33" spans="1:9" x14ac:dyDescent="0.2">
      <c r="A33">
        <v>2006</v>
      </c>
      <c r="B33" t="s">
        <v>1</v>
      </c>
      <c r="C33" t="s">
        <v>32</v>
      </c>
      <c r="D33">
        <v>3897</v>
      </c>
      <c r="E33">
        <v>1650</v>
      </c>
      <c r="F33">
        <v>980</v>
      </c>
      <c r="G33">
        <v>1155</v>
      </c>
      <c r="H33">
        <f t="shared" si="0"/>
        <v>1067.5</v>
      </c>
      <c r="I33">
        <f t="shared" si="1"/>
        <v>1185.75</v>
      </c>
    </row>
    <row r="34" spans="1:9" x14ac:dyDescent="0.2">
      <c r="A34">
        <v>2007</v>
      </c>
      <c r="B34" t="s">
        <v>1</v>
      </c>
      <c r="C34" t="s">
        <v>32</v>
      </c>
      <c r="D34">
        <v>3897</v>
      </c>
      <c r="E34">
        <v>1650</v>
      </c>
      <c r="F34">
        <v>980</v>
      </c>
      <c r="G34">
        <v>1155</v>
      </c>
      <c r="H34">
        <f t="shared" si="0"/>
        <v>1067.5</v>
      </c>
      <c r="I34">
        <f t="shared" si="1"/>
        <v>1185.75</v>
      </c>
    </row>
    <row r="35" spans="1:9" x14ac:dyDescent="0.2">
      <c r="A35">
        <v>2008</v>
      </c>
      <c r="B35" t="s">
        <v>1</v>
      </c>
      <c r="C35" t="s">
        <v>32</v>
      </c>
      <c r="D35">
        <v>3897</v>
      </c>
      <c r="E35">
        <v>1650</v>
      </c>
      <c r="F35">
        <v>980</v>
      </c>
      <c r="G35">
        <v>1155</v>
      </c>
      <c r="H35">
        <f t="shared" si="0"/>
        <v>1067.5</v>
      </c>
      <c r="I35">
        <f t="shared" si="1"/>
        <v>1185.75</v>
      </c>
    </row>
    <row r="36" spans="1:9" x14ac:dyDescent="0.2">
      <c r="A36">
        <v>2009</v>
      </c>
      <c r="B36" t="s">
        <v>1</v>
      </c>
      <c r="C36" t="s">
        <v>33</v>
      </c>
      <c r="D36" t="s">
        <v>37</v>
      </c>
      <c r="E36">
        <v>1682</v>
      </c>
      <c r="F36">
        <v>1050</v>
      </c>
      <c r="G36">
        <v>1269</v>
      </c>
      <c r="H36">
        <f t="shared" si="0"/>
        <v>1159.5</v>
      </c>
      <c r="I36">
        <f t="shared" si="1"/>
        <v>1231.75</v>
      </c>
    </row>
    <row r="37" spans="1:9" x14ac:dyDescent="0.2">
      <c r="A37">
        <v>2010</v>
      </c>
      <c r="B37" t="s">
        <v>1</v>
      </c>
      <c r="C37" t="s">
        <v>34</v>
      </c>
      <c r="D37" t="s">
        <v>37</v>
      </c>
      <c r="E37">
        <v>1682</v>
      </c>
      <c r="F37">
        <v>1050</v>
      </c>
      <c r="G37">
        <v>1269</v>
      </c>
      <c r="H37">
        <f t="shared" si="0"/>
        <v>1159.5</v>
      </c>
      <c r="I37">
        <f t="shared" si="1"/>
        <v>1231.75</v>
      </c>
    </row>
    <row r="38" spans="1:9" x14ac:dyDescent="0.2">
      <c r="A38">
        <v>2011</v>
      </c>
      <c r="B38" t="s">
        <v>1</v>
      </c>
      <c r="C38" t="s">
        <v>34</v>
      </c>
      <c r="D38" t="s">
        <v>37</v>
      </c>
      <c r="E38">
        <v>1682</v>
      </c>
      <c r="F38">
        <v>1050</v>
      </c>
      <c r="G38">
        <v>1269</v>
      </c>
      <c r="H38">
        <f t="shared" si="0"/>
        <v>1159.5</v>
      </c>
      <c r="I38">
        <f t="shared" si="1"/>
        <v>1231.75</v>
      </c>
    </row>
    <row r="39" spans="1:9" x14ac:dyDescent="0.2">
      <c r="A39">
        <v>2012</v>
      </c>
      <c r="B39" t="s">
        <v>1</v>
      </c>
      <c r="C39" t="s">
        <v>34</v>
      </c>
      <c r="D39" t="s">
        <v>37</v>
      </c>
      <c r="E39">
        <v>1682</v>
      </c>
      <c r="F39">
        <v>1050</v>
      </c>
      <c r="G39">
        <v>1269</v>
      </c>
      <c r="H39">
        <f t="shared" si="0"/>
        <v>1159.5</v>
      </c>
      <c r="I39">
        <f t="shared" si="1"/>
        <v>1178</v>
      </c>
    </row>
    <row r="40" spans="1:9" x14ac:dyDescent="0.2">
      <c r="A40">
        <v>2013</v>
      </c>
      <c r="B40" t="s">
        <v>1</v>
      </c>
      <c r="C40" t="s">
        <v>34</v>
      </c>
      <c r="D40" t="s">
        <v>37</v>
      </c>
      <c r="E40">
        <v>1682</v>
      </c>
      <c r="F40">
        <v>1050</v>
      </c>
      <c r="G40">
        <v>1269</v>
      </c>
      <c r="H40">
        <f t="shared" si="0"/>
        <v>1159.5</v>
      </c>
      <c r="I40">
        <f t="shared" si="1"/>
        <v>1178</v>
      </c>
    </row>
    <row r="41" spans="1:9" x14ac:dyDescent="0.2">
      <c r="A41">
        <v>2014</v>
      </c>
      <c r="B41" t="s">
        <v>1</v>
      </c>
      <c r="C41" t="s">
        <v>34</v>
      </c>
      <c r="D41" t="s">
        <v>37</v>
      </c>
      <c r="E41">
        <v>1682</v>
      </c>
      <c r="F41">
        <v>1050</v>
      </c>
      <c r="G41">
        <v>1269</v>
      </c>
      <c r="H41">
        <f t="shared" si="0"/>
        <v>1159.5</v>
      </c>
      <c r="I41">
        <f t="shared" si="1"/>
        <v>1178</v>
      </c>
    </row>
    <row r="42" spans="1:9" x14ac:dyDescent="0.2">
      <c r="A42">
        <v>2015</v>
      </c>
      <c r="B42" t="s">
        <v>1</v>
      </c>
      <c r="C42" t="s">
        <v>34</v>
      </c>
      <c r="D42" t="s">
        <v>37</v>
      </c>
      <c r="E42">
        <v>1682</v>
      </c>
      <c r="F42">
        <v>1050</v>
      </c>
      <c r="G42">
        <v>1269</v>
      </c>
      <c r="H42">
        <f t="shared" si="0"/>
        <v>1159.5</v>
      </c>
      <c r="I42">
        <f t="shared" si="1"/>
        <v>1178</v>
      </c>
    </row>
    <row r="43" spans="1:9" x14ac:dyDescent="0.2">
      <c r="A43">
        <v>2016</v>
      </c>
      <c r="B43" t="s">
        <v>1</v>
      </c>
      <c r="C43" t="s">
        <v>34</v>
      </c>
      <c r="D43" t="s">
        <v>37</v>
      </c>
      <c r="E43">
        <v>1682</v>
      </c>
      <c r="F43">
        <v>1050</v>
      </c>
      <c r="G43">
        <v>1269</v>
      </c>
      <c r="H43">
        <f t="shared" si="0"/>
        <v>1159.5</v>
      </c>
      <c r="I43">
        <f t="shared" si="1"/>
        <v>1178</v>
      </c>
    </row>
    <row r="44" spans="1:9" x14ac:dyDescent="0.2">
      <c r="A44">
        <v>2017</v>
      </c>
      <c r="B44" t="s">
        <v>1</v>
      </c>
      <c r="C44" t="s">
        <v>35</v>
      </c>
      <c r="D44">
        <v>4053</v>
      </c>
      <c r="E44">
        <v>1461</v>
      </c>
      <c r="F44">
        <v>1105</v>
      </c>
      <c r="G44">
        <v>1355</v>
      </c>
      <c r="H44">
        <f t="shared" si="0"/>
        <v>1230</v>
      </c>
      <c r="I44">
        <f t="shared" si="1"/>
        <v>1213.25</v>
      </c>
    </row>
    <row r="45" spans="1:9" x14ac:dyDescent="0.2">
      <c r="A45">
        <v>2018</v>
      </c>
      <c r="B45" t="s">
        <v>1</v>
      </c>
      <c r="C45" t="s">
        <v>36</v>
      </c>
      <c r="D45">
        <v>4053</v>
      </c>
      <c r="E45">
        <v>1461</v>
      </c>
      <c r="F45">
        <v>1105</v>
      </c>
      <c r="G45">
        <v>1355</v>
      </c>
      <c r="H45">
        <f t="shared" si="0"/>
        <v>1230</v>
      </c>
      <c r="I45">
        <f>AVERAGE(H45,H98)</f>
        <v>1213.25</v>
      </c>
    </row>
    <row r="46" spans="1:9" x14ac:dyDescent="0.2">
      <c r="A46">
        <v>2019</v>
      </c>
      <c r="B46" t="s">
        <v>1</v>
      </c>
      <c r="C46" t="s">
        <v>36</v>
      </c>
      <c r="D46">
        <v>4053</v>
      </c>
      <c r="E46">
        <v>1461</v>
      </c>
      <c r="F46">
        <v>1105</v>
      </c>
      <c r="G46">
        <v>1355</v>
      </c>
      <c r="H46">
        <f t="shared" si="0"/>
        <v>1230</v>
      </c>
      <c r="I46">
        <f t="shared" si="1"/>
        <v>1275</v>
      </c>
    </row>
    <row r="47" spans="1:9" x14ac:dyDescent="0.2">
      <c r="A47">
        <v>2020</v>
      </c>
      <c r="B47" t="s">
        <v>1</v>
      </c>
      <c r="C47" t="s">
        <v>36</v>
      </c>
      <c r="D47">
        <v>4053</v>
      </c>
      <c r="E47">
        <v>1461</v>
      </c>
      <c r="F47">
        <v>1105</v>
      </c>
      <c r="G47">
        <v>1355</v>
      </c>
      <c r="H47">
        <f t="shared" si="0"/>
        <v>1230</v>
      </c>
      <c r="I47">
        <f t="shared" si="1"/>
        <v>1275</v>
      </c>
    </row>
    <row r="48" spans="1:9" x14ac:dyDescent="0.2">
      <c r="A48">
        <v>2021</v>
      </c>
      <c r="B48" t="s">
        <v>1</v>
      </c>
      <c r="C48" t="s">
        <v>36</v>
      </c>
      <c r="D48">
        <v>4053</v>
      </c>
      <c r="E48">
        <v>1461</v>
      </c>
      <c r="F48">
        <v>1105</v>
      </c>
      <c r="G48">
        <v>1355</v>
      </c>
      <c r="H48">
        <f t="shared" si="0"/>
        <v>1230</v>
      </c>
      <c r="I48">
        <f t="shared" si="1"/>
        <v>1275</v>
      </c>
    </row>
    <row r="49" spans="1:9" x14ac:dyDescent="0.2">
      <c r="A49">
        <v>2022</v>
      </c>
      <c r="B49" t="s">
        <v>1</v>
      </c>
      <c r="C49" t="s">
        <v>36</v>
      </c>
      <c r="D49">
        <v>4053</v>
      </c>
      <c r="E49">
        <v>1461</v>
      </c>
      <c r="F49">
        <v>1105</v>
      </c>
      <c r="G49">
        <v>1355</v>
      </c>
      <c r="H49">
        <f t="shared" si="0"/>
        <v>1230</v>
      </c>
      <c r="I49">
        <f t="shared" si="1"/>
        <v>1275</v>
      </c>
    </row>
    <row r="50" spans="1:9" x14ac:dyDescent="0.2">
      <c r="A50">
        <v>2023</v>
      </c>
      <c r="B50" t="s">
        <v>1</v>
      </c>
      <c r="C50" t="s">
        <v>36</v>
      </c>
      <c r="D50">
        <v>4053</v>
      </c>
      <c r="E50">
        <v>1461</v>
      </c>
      <c r="F50">
        <v>1105</v>
      </c>
      <c r="G50">
        <v>1355</v>
      </c>
      <c r="H50">
        <f t="shared" si="0"/>
        <v>1230</v>
      </c>
      <c r="I50">
        <f t="shared" si="1"/>
        <v>1275</v>
      </c>
    </row>
    <row r="51" spans="1:9" x14ac:dyDescent="0.2">
      <c r="A51">
        <v>2024</v>
      </c>
      <c r="B51" t="s">
        <v>1</v>
      </c>
      <c r="C51" t="s">
        <v>36</v>
      </c>
      <c r="D51">
        <v>4053</v>
      </c>
      <c r="E51">
        <v>1461</v>
      </c>
      <c r="F51">
        <v>1105</v>
      </c>
      <c r="G51">
        <v>1355</v>
      </c>
      <c r="H51">
        <f t="shared" si="0"/>
        <v>1230</v>
      </c>
      <c r="I51">
        <f t="shared" si="1"/>
        <v>1275</v>
      </c>
    </row>
    <row r="52" spans="1:9" x14ac:dyDescent="0.2">
      <c r="A52">
        <v>1972</v>
      </c>
      <c r="B52" t="s">
        <v>66</v>
      </c>
      <c r="C52">
        <v>104</v>
      </c>
      <c r="D52" t="s">
        <v>67</v>
      </c>
      <c r="E52">
        <v>1520</v>
      </c>
      <c r="F52">
        <v>760</v>
      </c>
      <c r="G52">
        <v>820</v>
      </c>
      <c r="H52">
        <f t="shared" si="0"/>
        <v>790</v>
      </c>
    </row>
    <row r="53" spans="1:9" x14ac:dyDescent="0.2">
      <c r="A53">
        <v>1973</v>
      </c>
      <c r="B53" t="s">
        <v>66</v>
      </c>
      <c r="C53">
        <v>104</v>
      </c>
      <c r="D53" t="s">
        <v>67</v>
      </c>
      <c r="E53">
        <v>1520</v>
      </c>
      <c r="F53">
        <v>760</v>
      </c>
      <c r="G53">
        <v>820</v>
      </c>
      <c r="H53">
        <f t="shared" si="0"/>
        <v>790</v>
      </c>
    </row>
    <row r="54" spans="1:9" x14ac:dyDescent="0.2">
      <c r="A54">
        <v>1974</v>
      </c>
      <c r="B54" t="s">
        <v>66</v>
      </c>
      <c r="C54">
        <v>104</v>
      </c>
      <c r="D54" t="s">
        <v>67</v>
      </c>
      <c r="E54">
        <v>1520</v>
      </c>
      <c r="F54">
        <v>760</v>
      </c>
      <c r="G54">
        <v>820</v>
      </c>
      <c r="H54">
        <f t="shared" si="0"/>
        <v>790</v>
      </c>
    </row>
    <row r="55" spans="1:9" x14ac:dyDescent="0.2">
      <c r="A55">
        <v>1975</v>
      </c>
      <c r="B55" t="s">
        <v>66</v>
      </c>
      <c r="C55">
        <v>104</v>
      </c>
      <c r="D55" t="s">
        <v>67</v>
      </c>
      <c r="E55">
        <v>1520</v>
      </c>
      <c r="F55">
        <v>760</v>
      </c>
      <c r="G55">
        <v>820</v>
      </c>
      <c r="H55">
        <f t="shared" si="0"/>
        <v>790</v>
      </c>
    </row>
    <row r="56" spans="1:9" x14ac:dyDescent="0.2">
      <c r="A56">
        <v>1976</v>
      </c>
      <c r="B56" t="s">
        <v>66</v>
      </c>
      <c r="C56">
        <v>104</v>
      </c>
      <c r="D56" t="s">
        <v>67</v>
      </c>
      <c r="E56">
        <v>1520</v>
      </c>
      <c r="F56">
        <v>760</v>
      </c>
      <c r="G56">
        <v>820</v>
      </c>
      <c r="H56">
        <f t="shared" si="0"/>
        <v>790</v>
      </c>
    </row>
    <row r="57" spans="1:9" x14ac:dyDescent="0.2">
      <c r="A57">
        <v>1977</v>
      </c>
      <c r="B57" t="s">
        <v>66</v>
      </c>
      <c r="C57">
        <v>104</v>
      </c>
      <c r="D57" t="s">
        <v>67</v>
      </c>
      <c r="E57">
        <v>1520</v>
      </c>
      <c r="F57">
        <v>760</v>
      </c>
      <c r="G57">
        <v>820</v>
      </c>
      <c r="H57">
        <f t="shared" si="0"/>
        <v>790</v>
      </c>
    </row>
    <row r="58" spans="1:9" x14ac:dyDescent="0.2">
      <c r="A58">
        <v>1978</v>
      </c>
      <c r="B58" t="s">
        <v>66</v>
      </c>
      <c r="C58">
        <v>104</v>
      </c>
      <c r="D58" t="s">
        <v>67</v>
      </c>
      <c r="E58">
        <v>1520</v>
      </c>
      <c r="F58">
        <v>760</v>
      </c>
      <c r="G58">
        <v>820</v>
      </c>
      <c r="H58">
        <f t="shared" si="0"/>
        <v>790</v>
      </c>
    </row>
    <row r="59" spans="1:9" x14ac:dyDescent="0.2">
      <c r="A59">
        <v>1979</v>
      </c>
      <c r="B59" t="s">
        <v>66</v>
      </c>
      <c r="C59">
        <v>104</v>
      </c>
      <c r="D59" t="s">
        <v>67</v>
      </c>
      <c r="E59">
        <v>1520</v>
      </c>
      <c r="F59">
        <v>760</v>
      </c>
      <c r="G59">
        <v>820</v>
      </c>
      <c r="H59">
        <f t="shared" si="0"/>
        <v>790</v>
      </c>
    </row>
    <row r="60" spans="1:9" x14ac:dyDescent="0.2">
      <c r="A60">
        <v>1980</v>
      </c>
      <c r="B60" t="s">
        <v>66</v>
      </c>
      <c r="C60">
        <v>104</v>
      </c>
      <c r="D60" t="s">
        <v>67</v>
      </c>
      <c r="E60">
        <v>1520</v>
      </c>
      <c r="F60">
        <v>760</v>
      </c>
      <c r="G60">
        <v>820</v>
      </c>
      <c r="H60">
        <f t="shared" si="0"/>
        <v>790</v>
      </c>
    </row>
    <row r="61" spans="1:9" x14ac:dyDescent="0.2">
      <c r="A61">
        <v>1981</v>
      </c>
      <c r="B61" t="s">
        <v>66</v>
      </c>
      <c r="C61">
        <v>104</v>
      </c>
      <c r="D61" t="s">
        <v>67</v>
      </c>
      <c r="E61">
        <v>1520</v>
      </c>
      <c r="F61">
        <v>760</v>
      </c>
      <c r="G61">
        <v>820</v>
      </c>
      <c r="H61">
        <f t="shared" si="0"/>
        <v>790</v>
      </c>
    </row>
    <row r="62" spans="1:9" x14ac:dyDescent="0.2">
      <c r="A62">
        <v>1982</v>
      </c>
      <c r="B62" t="s">
        <v>66</v>
      </c>
      <c r="C62">
        <v>104</v>
      </c>
      <c r="D62" t="s">
        <v>67</v>
      </c>
      <c r="E62">
        <v>1520</v>
      </c>
      <c r="F62">
        <v>760</v>
      </c>
      <c r="G62">
        <v>820</v>
      </c>
      <c r="H62">
        <f t="shared" si="0"/>
        <v>790</v>
      </c>
    </row>
    <row r="63" spans="1:9" x14ac:dyDescent="0.2">
      <c r="A63">
        <v>1983</v>
      </c>
      <c r="B63" t="s">
        <v>66</v>
      </c>
      <c r="C63" t="s">
        <v>68</v>
      </c>
      <c r="D63">
        <v>3705</v>
      </c>
      <c r="E63">
        <v>1572</v>
      </c>
      <c r="F63">
        <v>720</v>
      </c>
      <c r="G63">
        <v>880</v>
      </c>
      <c r="H63">
        <f t="shared" si="0"/>
        <v>800</v>
      </c>
    </row>
    <row r="64" spans="1:9" x14ac:dyDescent="0.2">
      <c r="A64">
        <v>1984</v>
      </c>
      <c r="B64" t="s">
        <v>66</v>
      </c>
      <c r="C64" t="s">
        <v>68</v>
      </c>
      <c r="D64">
        <v>3705</v>
      </c>
      <c r="E64">
        <v>1572</v>
      </c>
      <c r="F64">
        <v>720</v>
      </c>
      <c r="G64">
        <v>880</v>
      </c>
      <c r="H64">
        <f t="shared" si="0"/>
        <v>800</v>
      </c>
    </row>
    <row r="65" spans="1:8" x14ac:dyDescent="0.2">
      <c r="A65">
        <v>1985</v>
      </c>
      <c r="B65" t="s">
        <v>66</v>
      </c>
      <c r="C65" t="s">
        <v>68</v>
      </c>
      <c r="D65">
        <v>3705</v>
      </c>
      <c r="E65">
        <v>1572</v>
      </c>
      <c r="F65">
        <v>720</v>
      </c>
      <c r="G65">
        <v>880</v>
      </c>
      <c r="H65">
        <f t="shared" si="0"/>
        <v>800</v>
      </c>
    </row>
    <row r="66" spans="1:8" x14ac:dyDescent="0.2">
      <c r="A66">
        <v>1986</v>
      </c>
      <c r="B66" t="s">
        <v>66</v>
      </c>
      <c r="C66" t="s">
        <v>68</v>
      </c>
      <c r="D66">
        <v>3705</v>
      </c>
      <c r="E66">
        <v>1572</v>
      </c>
      <c r="F66">
        <v>720</v>
      </c>
      <c r="G66">
        <v>880</v>
      </c>
      <c r="H66">
        <f t="shared" si="0"/>
        <v>800</v>
      </c>
    </row>
    <row r="67" spans="1:8" x14ac:dyDescent="0.2">
      <c r="A67">
        <v>1987</v>
      </c>
      <c r="B67" t="s">
        <v>66</v>
      </c>
      <c r="C67" t="s">
        <v>68</v>
      </c>
      <c r="D67">
        <v>3705</v>
      </c>
      <c r="E67">
        <v>1572</v>
      </c>
      <c r="F67">
        <v>720</v>
      </c>
      <c r="G67">
        <v>880</v>
      </c>
      <c r="H67">
        <f t="shared" ref="H67:H104" si="2">AVERAGE(F67:G67)</f>
        <v>800</v>
      </c>
    </row>
    <row r="68" spans="1:8" x14ac:dyDescent="0.2">
      <c r="A68">
        <v>1988</v>
      </c>
      <c r="B68" t="s">
        <v>66</v>
      </c>
      <c r="C68" t="s">
        <v>68</v>
      </c>
      <c r="D68">
        <v>3705</v>
      </c>
      <c r="E68">
        <v>1572</v>
      </c>
      <c r="F68">
        <v>720</v>
      </c>
      <c r="G68">
        <v>880</v>
      </c>
      <c r="H68">
        <f t="shared" si="2"/>
        <v>800</v>
      </c>
    </row>
    <row r="69" spans="1:8" x14ac:dyDescent="0.2">
      <c r="A69">
        <v>1989</v>
      </c>
      <c r="B69" t="s">
        <v>66</v>
      </c>
      <c r="C69">
        <v>205</v>
      </c>
      <c r="D69">
        <v>3705</v>
      </c>
      <c r="E69">
        <v>1572</v>
      </c>
      <c r="F69">
        <v>720</v>
      </c>
      <c r="G69">
        <v>880</v>
      </c>
      <c r="H69">
        <f t="shared" si="2"/>
        <v>800</v>
      </c>
    </row>
    <row r="70" spans="1:8" x14ac:dyDescent="0.2">
      <c r="A70">
        <v>1990</v>
      </c>
      <c r="B70" t="s">
        <v>66</v>
      </c>
      <c r="C70">
        <v>205</v>
      </c>
      <c r="D70">
        <v>3705</v>
      </c>
      <c r="E70">
        <v>1572</v>
      </c>
      <c r="F70">
        <v>720</v>
      </c>
      <c r="G70">
        <v>880</v>
      </c>
      <c r="H70">
        <f t="shared" si="2"/>
        <v>800</v>
      </c>
    </row>
    <row r="71" spans="1:8" x14ac:dyDescent="0.2">
      <c r="A71">
        <v>1991</v>
      </c>
      <c r="B71" t="s">
        <v>66</v>
      </c>
      <c r="C71">
        <v>205</v>
      </c>
      <c r="D71">
        <v>3705</v>
      </c>
      <c r="E71">
        <v>1572</v>
      </c>
      <c r="F71">
        <v>720</v>
      </c>
      <c r="G71">
        <v>880</v>
      </c>
      <c r="H71">
        <f t="shared" si="2"/>
        <v>800</v>
      </c>
    </row>
    <row r="72" spans="1:8" x14ac:dyDescent="0.2">
      <c r="A72">
        <v>1992</v>
      </c>
      <c r="B72" t="s">
        <v>66</v>
      </c>
      <c r="C72">
        <v>205</v>
      </c>
      <c r="D72">
        <v>3705</v>
      </c>
      <c r="E72">
        <v>1572</v>
      </c>
      <c r="F72">
        <v>720</v>
      </c>
      <c r="G72">
        <v>880</v>
      </c>
      <c r="H72">
        <f t="shared" si="2"/>
        <v>800</v>
      </c>
    </row>
    <row r="73" spans="1:8" x14ac:dyDescent="0.2">
      <c r="A73">
        <v>1993</v>
      </c>
      <c r="B73" t="s">
        <v>66</v>
      </c>
      <c r="C73">
        <v>205</v>
      </c>
      <c r="D73">
        <v>3705</v>
      </c>
      <c r="E73">
        <v>1572</v>
      </c>
      <c r="F73">
        <v>720</v>
      </c>
      <c r="G73">
        <v>880</v>
      </c>
      <c r="H73">
        <f t="shared" si="2"/>
        <v>800</v>
      </c>
    </row>
    <row r="74" spans="1:8" x14ac:dyDescent="0.2">
      <c r="A74">
        <v>1994</v>
      </c>
      <c r="B74" t="s">
        <v>66</v>
      </c>
      <c r="C74">
        <v>205</v>
      </c>
      <c r="D74">
        <v>3705</v>
      </c>
      <c r="E74">
        <v>1572</v>
      </c>
      <c r="F74">
        <v>720</v>
      </c>
      <c r="G74">
        <v>880</v>
      </c>
      <c r="H74">
        <f t="shared" si="2"/>
        <v>800</v>
      </c>
    </row>
    <row r="75" spans="1:8" x14ac:dyDescent="0.2">
      <c r="A75">
        <v>1995</v>
      </c>
      <c r="B75" t="s">
        <v>66</v>
      </c>
      <c r="C75">
        <v>205</v>
      </c>
      <c r="D75">
        <v>3705</v>
      </c>
      <c r="E75">
        <v>1572</v>
      </c>
      <c r="F75">
        <v>720</v>
      </c>
      <c r="G75">
        <v>880</v>
      </c>
      <c r="H75">
        <f t="shared" si="2"/>
        <v>800</v>
      </c>
    </row>
    <row r="76" spans="1:8" x14ac:dyDescent="0.2">
      <c r="A76">
        <v>1996</v>
      </c>
      <c r="B76" t="s">
        <v>66</v>
      </c>
      <c r="C76">
        <v>205</v>
      </c>
      <c r="D76">
        <v>3705</v>
      </c>
      <c r="E76">
        <v>1572</v>
      </c>
      <c r="F76">
        <v>720</v>
      </c>
      <c r="G76">
        <v>880</v>
      </c>
      <c r="H76">
        <f t="shared" si="2"/>
        <v>800</v>
      </c>
    </row>
    <row r="77" spans="1:8" x14ac:dyDescent="0.2">
      <c r="A77">
        <v>1997</v>
      </c>
      <c r="B77" t="s">
        <v>66</v>
      </c>
      <c r="C77">
        <v>205</v>
      </c>
      <c r="D77">
        <v>3705</v>
      </c>
      <c r="E77">
        <v>1572</v>
      </c>
      <c r="F77">
        <v>720</v>
      </c>
      <c r="G77">
        <v>880</v>
      </c>
      <c r="H77">
        <f t="shared" si="2"/>
        <v>800</v>
      </c>
    </row>
    <row r="78" spans="1:8" x14ac:dyDescent="0.2">
      <c r="A78">
        <v>1998</v>
      </c>
      <c r="B78" t="s">
        <v>66</v>
      </c>
      <c r="C78" t="s">
        <v>69</v>
      </c>
      <c r="D78" t="s">
        <v>70</v>
      </c>
      <c r="E78" t="s">
        <v>71</v>
      </c>
      <c r="F78">
        <v>985</v>
      </c>
      <c r="G78">
        <v>1285</v>
      </c>
      <c r="H78">
        <f t="shared" si="2"/>
        <v>1135</v>
      </c>
    </row>
    <row r="79" spans="1:8" x14ac:dyDescent="0.2">
      <c r="A79">
        <v>1999</v>
      </c>
      <c r="B79" t="s">
        <v>66</v>
      </c>
      <c r="C79">
        <v>206</v>
      </c>
      <c r="D79" t="s">
        <v>70</v>
      </c>
      <c r="E79" t="s">
        <v>71</v>
      </c>
      <c r="F79">
        <v>985</v>
      </c>
      <c r="G79">
        <v>1285</v>
      </c>
      <c r="H79">
        <f t="shared" si="2"/>
        <v>1135</v>
      </c>
    </row>
    <row r="80" spans="1:8" x14ac:dyDescent="0.2">
      <c r="A80">
        <v>2000</v>
      </c>
      <c r="B80" t="s">
        <v>66</v>
      </c>
      <c r="C80">
        <v>206</v>
      </c>
      <c r="D80" t="s">
        <v>70</v>
      </c>
      <c r="E80" t="s">
        <v>71</v>
      </c>
      <c r="F80">
        <v>985</v>
      </c>
      <c r="G80">
        <v>1285</v>
      </c>
      <c r="H80">
        <f t="shared" si="2"/>
        <v>1135</v>
      </c>
    </row>
    <row r="81" spans="1:8" x14ac:dyDescent="0.2">
      <c r="A81">
        <v>2001</v>
      </c>
      <c r="B81" t="s">
        <v>66</v>
      </c>
      <c r="C81">
        <v>206</v>
      </c>
      <c r="D81" t="s">
        <v>70</v>
      </c>
      <c r="E81" t="s">
        <v>71</v>
      </c>
      <c r="F81">
        <v>985</v>
      </c>
      <c r="G81">
        <v>1285</v>
      </c>
      <c r="H81">
        <f t="shared" si="2"/>
        <v>1135</v>
      </c>
    </row>
    <row r="82" spans="1:8" x14ac:dyDescent="0.2">
      <c r="A82">
        <v>2002</v>
      </c>
      <c r="B82" t="s">
        <v>66</v>
      </c>
      <c r="C82">
        <v>206</v>
      </c>
      <c r="D82" t="s">
        <v>70</v>
      </c>
      <c r="E82" t="s">
        <v>71</v>
      </c>
      <c r="F82">
        <v>985</v>
      </c>
      <c r="G82">
        <v>1285</v>
      </c>
      <c r="H82">
        <f t="shared" si="2"/>
        <v>1135</v>
      </c>
    </row>
    <row r="83" spans="1:8" x14ac:dyDescent="0.2">
      <c r="A83">
        <v>2003</v>
      </c>
      <c r="B83" t="s">
        <v>66</v>
      </c>
      <c r="C83">
        <v>206</v>
      </c>
      <c r="D83" t="s">
        <v>70</v>
      </c>
      <c r="E83" t="s">
        <v>71</v>
      </c>
      <c r="F83">
        <v>985</v>
      </c>
      <c r="G83">
        <v>1285</v>
      </c>
      <c r="H83">
        <f t="shared" si="2"/>
        <v>1135</v>
      </c>
    </row>
    <row r="84" spans="1:8" x14ac:dyDescent="0.2">
      <c r="A84">
        <v>2004</v>
      </c>
      <c r="B84" t="s">
        <v>66</v>
      </c>
      <c r="C84">
        <v>206</v>
      </c>
      <c r="D84" t="s">
        <v>70</v>
      </c>
      <c r="E84" t="s">
        <v>71</v>
      </c>
      <c r="F84">
        <v>985</v>
      </c>
      <c r="G84">
        <v>1285</v>
      </c>
      <c r="H84">
        <f t="shared" si="2"/>
        <v>1135</v>
      </c>
    </row>
    <row r="85" spans="1:8" x14ac:dyDescent="0.2">
      <c r="A85">
        <v>2005</v>
      </c>
      <c r="B85" t="s">
        <v>66</v>
      </c>
      <c r="C85">
        <v>206</v>
      </c>
      <c r="D85" t="s">
        <v>70</v>
      </c>
      <c r="E85" t="s">
        <v>71</v>
      </c>
      <c r="F85">
        <v>985</v>
      </c>
      <c r="G85">
        <v>1285</v>
      </c>
      <c r="H85">
        <f t="shared" si="2"/>
        <v>1135</v>
      </c>
    </row>
    <row r="86" spans="1:8" x14ac:dyDescent="0.2">
      <c r="A86">
        <v>2006</v>
      </c>
      <c r="B86" t="s">
        <v>66</v>
      </c>
      <c r="C86" t="s">
        <v>72</v>
      </c>
      <c r="D86" t="s">
        <v>73</v>
      </c>
      <c r="E86">
        <v>1748</v>
      </c>
      <c r="F86">
        <v>1213</v>
      </c>
      <c r="G86">
        <v>1395</v>
      </c>
      <c r="H86">
        <f t="shared" si="2"/>
        <v>1304</v>
      </c>
    </row>
    <row r="87" spans="1:8" x14ac:dyDescent="0.2">
      <c r="A87">
        <v>2007</v>
      </c>
      <c r="B87" t="s">
        <v>66</v>
      </c>
      <c r="C87">
        <v>207</v>
      </c>
      <c r="D87" t="s">
        <v>73</v>
      </c>
      <c r="E87">
        <v>1748</v>
      </c>
      <c r="F87">
        <v>1213</v>
      </c>
      <c r="G87">
        <v>1395</v>
      </c>
      <c r="H87">
        <f t="shared" si="2"/>
        <v>1304</v>
      </c>
    </row>
    <row r="88" spans="1:8" x14ac:dyDescent="0.2">
      <c r="A88">
        <v>2008</v>
      </c>
      <c r="B88" t="s">
        <v>66</v>
      </c>
      <c r="C88">
        <v>207</v>
      </c>
      <c r="D88" t="s">
        <v>73</v>
      </c>
      <c r="E88">
        <v>1748</v>
      </c>
      <c r="F88">
        <v>1213</v>
      </c>
      <c r="G88">
        <v>1395</v>
      </c>
      <c r="H88">
        <f t="shared" si="2"/>
        <v>1304</v>
      </c>
    </row>
    <row r="89" spans="1:8" x14ac:dyDescent="0.2">
      <c r="A89">
        <v>2009</v>
      </c>
      <c r="B89" t="s">
        <v>66</v>
      </c>
      <c r="C89">
        <v>207</v>
      </c>
      <c r="D89" t="s">
        <v>73</v>
      </c>
      <c r="E89">
        <v>1748</v>
      </c>
      <c r="F89">
        <v>1213</v>
      </c>
      <c r="G89">
        <v>1395</v>
      </c>
      <c r="H89">
        <f t="shared" si="2"/>
        <v>1304</v>
      </c>
    </row>
    <row r="90" spans="1:8" x14ac:dyDescent="0.2">
      <c r="A90">
        <v>2010</v>
      </c>
      <c r="B90" t="s">
        <v>66</v>
      </c>
      <c r="C90">
        <v>207</v>
      </c>
      <c r="D90" t="s">
        <v>73</v>
      </c>
      <c r="E90">
        <v>1748</v>
      </c>
      <c r="F90">
        <v>1213</v>
      </c>
      <c r="G90">
        <v>1395</v>
      </c>
      <c r="H90">
        <f t="shared" si="2"/>
        <v>1304</v>
      </c>
    </row>
    <row r="91" spans="1:8" x14ac:dyDescent="0.2">
      <c r="A91">
        <v>2011</v>
      </c>
      <c r="B91" t="s">
        <v>66</v>
      </c>
      <c r="C91">
        <v>207</v>
      </c>
      <c r="D91" t="s">
        <v>73</v>
      </c>
      <c r="E91">
        <v>1748</v>
      </c>
      <c r="F91">
        <v>1213</v>
      </c>
      <c r="G91">
        <v>1395</v>
      </c>
      <c r="H91">
        <f t="shared" si="2"/>
        <v>1304</v>
      </c>
    </row>
    <row r="92" spans="1:8" x14ac:dyDescent="0.2">
      <c r="A92">
        <v>2012</v>
      </c>
      <c r="B92" t="s">
        <v>66</v>
      </c>
      <c r="C92" t="s">
        <v>74</v>
      </c>
      <c r="D92" t="s">
        <v>75</v>
      </c>
      <c r="E92">
        <v>1739</v>
      </c>
      <c r="F92">
        <v>1110</v>
      </c>
      <c r="G92">
        <v>1283</v>
      </c>
      <c r="H92">
        <f t="shared" si="2"/>
        <v>1196.5</v>
      </c>
    </row>
    <row r="93" spans="1:8" x14ac:dyDescent="0.2">
      <c r="A93">
        <v>2013</v>
      </c>
      <c r="B93" t="s">
        <v>66</v>
      </c>
      <c r="C93" t="s">
        <v>74</v>
      </c>
      <c r="D93" t="s">
        <v>75</v>
      </c>
      <c r="E93">
        <v>1739</v>
      </c>
      <c r="F93">
        <v>1110</v>
      </c>
      <c r="G93">
        <v>1283</v>
      </c>
      <c r="H93">
        <f t="shared" si="2"/>
        <v>1196.5</v>
      </c>
    </row>
    <row r="94" spans="1:8" x14ac:dyDescent="0.2">
      <c r="A94">
        <v>2014</v>
      </c>
      <c r="B94" t="s">
        <v>66</v>
      </c>
      <c r="C94" t="s">
        <v>74</v>
      </c>
      <c r="D94" t="s">
        <v>75</v>
      </c>
      <c r="E94">
        <v>1739</v>
      </c>
      <c r="F94">
        <v>1110</v>
      </c>
      <c r="G94">
        <v>1283</v>
      </c>
      <c r="H94">
        <f t="shared" si="2"/>
        <v>1196.5</v>
      </c>
    </row>
    <row r="95" spans="1:8" x14ac:dyDescent="0.2">
      <c r="A95">
        <v>2015</v>
      </c>
      <c r="B95" t="s">
        <v>66</v>
      </c>
      <c r="C95" t="s">
        <v>74</v>
      </c>
      <c r="D95" t="s">
        <v>75</v>
      </c>
      <c r="E95">
        <v>1739</v>
      </c>
      <c r="F95">
        <v>1110</v>
      </c>
      <c r="G95">
        <v>1283</v>
      </c>
      <c r="H95">
        <f t="shared" si="2"/>
        <v>1196.5</v>
      </c>
    </row>
    <row r="96" spans="1:8" x14ac:dyDescent="0.2">
      <c r="A96">
        <v>2016</v>
      </c>
      <c r="B96" t="s">
        <v>66</v>
      </c>
      <c r="C96">
        <v>208</v>
      </c>
      <c r="D96" t="s">
        <v>75</v>
      </c>
      <c r="E96">
        <v>1739</v>
      </c>
      <c r="F96">
        <v>1110</v>
      </c>
      <c r="G96">
        <v>1283</v>
      </c>
      <c r="H96">
        <f t="shared" si="2"/>
        <v>1196.5</v>
      </c>
    </row>
    <row r="97" spans="1:8" x14ac:dyDescent="0.2">
      <c r="A97">
        <v>2017</v>
      </c>
      <c r="B97" t="s">
        <v>66</v>
      </c>
      <c r="C97">
        <v>208</v>
      </c>
      <c r="D97" t="s">
        <v>75</v>
      </c>
      <c r="E97">
        <v>1739</v>
      </c>
      <c r="F97">
        <v>1110</v>
      </c>
      <c r="G97">
        <v>1283</v>
      </c>
      <c r="H97">
        <f t="shared" si="2"/>
        <v>1196.5</v>
      </c>
    </row>
    <row r="98" spans="1:8" x14ac:dyDescent="0.2">
      <c r="A98">
        <v>2018</v>
      </c>
      <c r="B98" t="s">
        <v>66</v>
      </c>
      <c r="C98">
        <v>208</v>
      </c>
      <c r="D98" t="s">
        <v>75</v>
      </c>
      <c r="E98">
        <v>1739</v>
      </c>
      <c r="F98">
        <v>1110</v>
      </c>
      <c r="G98">
        <v>1283</v>
      </c>
      <c r="H98">
        <f t="shared" si="2"/>
        <v>1196.5</v>
      </c>
    </row>
    <row r="99" spans="1:8" x14ac:dyDescent="0.2">
      <c r="A99">
        <v>2019</v>
      </c>
      <c r="B99" t="s">
        <v>66</v>
      </c>
      <c r="C99" t="s">
        <v>76</v>
      </c>
      <c r="D99">
        <v>4055</v>
      </c>
      <c r="E99">
        <v>1745</v>
      </c>
      <c r="F99">
        <v>1055</v>
      </c>
      <c r="G99">
        <v>1585</v>
      </c>
      <c r="H99">
        <f t="shared" si="2"/>
        <v>1320</v>
      </c>
    </row>
    <row r="100" spans="1:8" x14ac:dyDescent="0.2">
      <c r="A100">
        <v>2020</v>
      </c>
      <c r="B100" t="s">
        <v>66</v>
      </c>
      <c r="C100" t="s">
        <v>77</v>
      </c>
      <c r="D100">
        <v>4055</v>
      </c>
      <c r="E100">
        <v>1745</v>
      </c>
      <c r="F100">
        <v>1055</v>
      </c>
      <c r="G100">
        <v>1585</v>
      </c>
      <c r="H100">
        <f t="shared" si="2"/>
        <v>1320</v>
      </c>
    </row>
    <row r="101" spans="1:8" x14ac:dyDescent="0.2">
      <c r="A101">
        <v>2021</v>
      </c>
      <c r="B101" t="s">
        <v>66</v>
      </c>
      <c r="C101" t="s">
        <v>77</v>
      </c>
      <c r="D101">
        <v>4055</v>
      </c>
      <c r="E101">
        <v>1745</v>
      </c>
      <c r="F101">
        <v>1055</v>
      </c>
      <c r="G101">
        <v>1585</v>
      </c>
      <c r="H101">
        <f t="shared" si="2"/>
        <v>1320</v>
      </c>
    </row>
    <row r="102" spans="1:8" x14ac:dyDescent="0.2">
      <c r="A102">
        <v>2022</v>
      </c>
      <c r="B102" t="s">
        <v>66</v>
      </c>
      <c r="C102" t="s">
        <v>77</v>
      </c>
      <c r="D102">
        <v>4055</v>
      </c>
      <c r="E102">
        <v>1745</v>
      </c>
      <c r="F102">
        <v>1055</v>
      </c>
      <c r="G102">
        <v>1585</v>
      </c>
      <c r="H102">
        <f t="shared" si="2"/>
        <v>1320</v>
      </c>
    </row>
    <row r="103" spans="1:8" x14ac:dyDescent="0.2">
      <c r="A103">
        <v>2023</v>
      </c>
      <c r="B103" t="s">
        <v>66</v>
      </c>
      <c r="C103" t="s">
        <v>77</v>
      </c>
      <c r="D103">
        <v>4055</v>
      </c>
      <c r="E103">
        <v>1745</v>
      </c>
      <c r="F103">
        <v>1055</v>
      </c>
      <c r="G103">
        <v>1585</v>
      </c>
      <c r="H103">
        <f t="shared" si="2"/>
        <v>1320</v>
      </c>
    </row>
    <row r="104" spans="1:8" x14ac:dyDescent="0.2">
      <c r="A104">
        <v>2024</v>
      </c>
      <c r="B104" t="s">
        <v>66</v>
      </c>
      <c r="C104" t="s">
        <v>77</v>
      </c>
      <c r="D104">
        <v>4055</v>
      </c>
      <c r="E104">
        <v>1745</v>
      </c>
      <c r="F104">
        <v>1055</v>
      </c>
      <c r="G104">
        <v>1585</v>
      </c>
      <c r="H104">
        <f t="shared" si="2"/>
        <v>1320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036B-5581-C948-8A99-9B902C5F5687}">
  <dimension ref="A1:I153"/>
  <sheetViews>
    <sheetView zoomScale="160" zoomScaleNormal="160" workbookViewId="0">
      <selection activeCell="L44" sqref="L44"/>
    </sheetView>
  </sheetViews>
  <sheetFormatPr baseColWidth="10" defaultColWidth="10.83203125" defaultRowHeight="16" x14ac:dyDescent="0.2"/>
  <cols>
    <col min="3" max="3" width="19.1640625" customWidth="1"/>
  </cols>
  <sheetData>
    <row r="1" spans="1:9" x14ac:dyDescent="0.2">
      <c r="A1" t="s">
        <v>43</v>
      </c>
      <c r="B1" t="s">
        <v>42</v>
      </c>
      <c r="C1" t="s">
        <v>41</v>
      </c>
      <c r="D1" t="s">
        <v>40</v>
      </c>
      <c r="E1" t="s">
        <v>0</v>
      </c>
      <c r="F1" t="s">
        <v>38</v>
      </c>
      <c r="G1" t="s">
        <v>39</v>
      </c>
    </row>
    <row r="2" spans="1:9" x14ac:dyDescent="0.2">
      <c r="A2">
        <v>1974</v>
      </c>
      <c r="B2" t="s">
        <v>1</v>
      </c>
      <c r="C2" t="s">
        <v>2</v>
      </c>
      <c r="D2">
        <v>3705</v>
      </c>
      <c r="E2">
        <v>1610</v>
      </c>
      <c r="F2">
        <v>750</v>
      </c>
      <c r="G2">
        <v>805</v>
      </c>
      <c r="H2">
        <f>AVERAGE(F2:G2)</f>
        <v>777.5</v>
      </c>
    </row>
    <row r="3" spans="1:9" x14ac:dyDescent="0.2">
      <c r="A3">
        <v>1975</v>
      </c>
      <c r="B3" t="s">
        <v>1</v>
      </c>
      <c r="C3" t="s">
        <v>2</v>
      </c>
      <c r="D3">
        <v>3705</v>
      </c>
      <c r="E3">
        <v>1610</v>
      </c>
      <c r="F3">
        <v>750</v>
      </c>
      <c r="G3">
        <v>805</v>
      </c>
      <c r="H3">
        <f t="shared" ref="H3:H69" si="0">AVERAGE(F3:G3)</f>
        <v>777.5</v>
      </c>
      <c r="I3">
        <f>AVERAGE(H3,H53,H104)</f>
        <v>868.33333333333337</v>
      </c>
    </row>
    <row r="4" spans="1:9" x14ac:dyDescent="0.2">
      <c r="A4">
        <v>1976</v>
      </c>
      <c r="B4" t="s">
        <v>1</v>
      </c>
      <c r="C4" t="s">
        <v>2</v>
      </c>
      <c r="D4">
        <v>3705</v>
      </c>
      <c r="E4">
        <v>1610</v>
      </c>
      <c r="F4">
        <v>750</v>
      </c>
      <c r="G4">
        <v>805</v>
      </c>
      <c r="H4">
        <f t="shared" si="0"/>
        <v>777.5</v>
      </c>
      <c r="I4">
        <f t="shared" ref="I4:I52" si="1">AVERAGE(H4,H54,H105)</f>
        <v>868.33333333333337</v>
      </c>
    </row>
    <row r="5" spans="1:9" x14ac:dyDescent="0.2">
      <c r="A5">
        <v>1977</v>
      </c>
      <c r="B5" t="s">
        <v>1</v>
      </c>
      <c r="C5" t="s">
        <v>2</v>
      </c>
      <c r="D5">
        <v>3705</v>
      </c>
      <c r="E5">
        <v>1610</v>
      </c>
      <c r="F5">
        <v>750</v>
      </c>
      <c r="G5">
        <v>805</v>
      </c>
      <c r="H5">
        <f t="shared" si="0"/>
        <v>777.5</v>
      </c>
      <c r="I5">
        <f t="shared" si="1"/>
        <v>868.33333333333337</v>
      </c>
    </row>
    <row r="6" spans="1:9" x14ac:dyDescent="0.2">
      <c r="A6">
        <v>1978</v>
      </c>
      <c r="B6" t="s">
        <v>1</v>
      </c>
      <c r="C6" t="s">
        <v>2</v>
      </c>
      <c r="D6">
        <v>3705</v>
      </c>
      <c r="E6">
        <v>1610</v>
      </c>
      <c r="F6">
        <v>750</v>
      </c>
      <c r="G6">
        <v>805</v>
      </c>
      <c r="H6">
        <f t="shared" si="0"/>
        <v>777.5</v>
      </c>
      <c r="I6">
        <f t="shared" si="1"/>
        <v>868.33333333333337</v>
      </c>
    </row>
    <row r="7" spans="1:9" x14ac:dyDescent="0.2">
      <c r="A7">
        <v>1979</v>
      </c>
      <c r="B7" t="s">
        <v>1</v>
      </c>
      <c r="C7" t="s">
        <v>2</v>
      </c>
      <c r="D7">
        <v>3705</v>
      </c>
      <c r="E7">
        <v>1610</v>
      </c>
      <c r="F7">
        <v>750</v>
      </c>
      <c r="G7">
        <v>805</v>
      </c>
      <c r="H7">
        <f t="shared" si="0"/>
        <v>777.5</v>
      </c>
      <c r="I7">
        <f t="shared" si="1"/>
        <v>868.33333333333337</v>
      </c>
    </row>
    <row r="8" spans="1:9" x14ac:dyDescent="0.2">
      <c r="A8">
        <v>1980</v>
      </c>
      <c r="B8" t="s">
        <v>1</v>
      </c>
      <c r="C8" t="s">
        <v>2</v>
      </c>
      <c r="D8">
        <v>3705</v>
      </c>
      <c r="E8">
        <v>1610</v>
      </c>
      <c r="F8">
        <v>750</v>
      </c>
      <c r="G8">
        <v>805</v>
      </c>
      <c r="H8">
        <f t="shared" si="0"/>
        <v>777.5</v>
      </c>
      <c r="I8">
        <f t="shared" si="1"/>
        <v>872.5</v>
      </c>
    </row>
    <row r="9" spans="1:9" x14ac:dyDescent="0.2">
      <c r="A9">
        <v>1981</v>
      </c>
      <c r="B9" t="s">
        <v>1</v>
      </c>
      <c r="C9" t="s">
        <v>2</v>
      </c>
      <c r="D9">
        <v>3705</v>
      </c>
      <c r="E9">
        <v>1610</v>
      </c>
      <c r="F9">
        <v>750</v>
      </c>
      <c r="G9">
        <v>805</v>
      </c>
      <c r="H9">
        <f t="shared" si="0"/>
        <v>777.5</v>
      </c>
      <c r="I9">
        <f t="shared" si="1"/>
        <v>872.5</v>
      </c>
    </row>
    <row r="10" spans="1:9" x14ac:dyDescent="0.2">
      <c r="A10">
        <v>1982</v>
      </c>
      <c r="B10" t="s">
        <v>1</v>
      </c>
      <c r="C10" t="s">
        <v>2</v>
      </c>
      <c r="D10">
        <v>3705</v>
      </c>
      <c r="E10">
        <v>1610</v>
      </c>
      <c r="F10">
        <v>750</v>
      </c>
      <c r="G10">
        <v>805</v>
      </c>
      <c r="H10">
        <f t="shared" si="0"/>
        <v>777.5</v>
      </c>
      <c r="I10">
        <f t="shared" si="1"/>
        <v>872.5</v>
      </c>
    </row>
    <row r="11" spans="1:9" x14ac:dyDescent="0.2">
      <c r="A11">
        <v>1983</v>
      </c>
      <c r="B11" t="s">
        <v>1</v>
      </c>
      <c r="C11" t="s">
        <v>3</v>
      </c>
      <c r="D11" t="s">
        <v>17</v>
      </c>
      <c r="E11" t="s">
        <v>23</v>
      </c>
      <c r="F11">
        <v>845</v>
      </c>
      <c r="G11">
        <v>1165</v>
      </c>
      <c r="H11">
        <f t="shared" si="0"/>
        <v>1005</v>
      </c>
      <c r="I11">
        <f t="shared" si="1"/>
        <v>950.83333333333337</v>
      </c>
    </row>
    <row r="12" spans="1:9" x14ac:dyDescent="0.2">
      <c r="A12">
        <v>1984</v>
      </c>
      <c r="B12" t="s">
        <v>1</v>
      </c>
      <c r="C12" t="s">
        <v>4</v>
      </c>
      <c r="D12" t="s">
        <v>17</v>
      </c>
      <c r="E12" t="s">
        <v>23</v>
      </c>
      <c r="F12">
        <v>845</v>
      </c>
      <c r="G12">
        <v>1165</v>
      </c>
      <c r="H12">
        <f t="shared" si="0"/>
        <v>1005</v>
      </c>
      <c r="I12">
        <f t="shared" si="1"/>
        <v>950.83333333333337</v>
      </c>
    </row>
    <row r="13" spans="1:9" x14ac:dyDescent="0.2">
      <c r="A13">
        <v>1985</v>
      </c>
      <c r="B13" t="s">
        <v>1</v>
      </c>
      <c r="C13" t="s">
        <v>4</v>
      </c>
      <c r="D13" t="s">
        <v>17</v>
      </c>
      <c r="E13" t="s">
        <v>23</v>
      </c>
      <c r="F13">
        <v>845</v>
      </c>
      <c r="G13">
        <v>1165</v>
      </c>
      <c r="H13">
        <f t="shared" si="0"/>
        <v>1005</v>
      </c>
      <c r="I13">
        <f t="shared" si="1"/>
        <v>935.83333333333337</v>
      </c>
    </row>
    <row r="14" spans="1:9" x14ac:dyDescent="0.2">
      <c r="A14">
        <v>1986</v>
      </c>
      <c r="B14" t="s">
        <v>1</v>
      </c>
      <c r="C14" t="s">
        <v>4</v>
      </c>
      <c r="D14" t="s">
        <v>17</v>
      </c>
      <c r="E14" t="s">
        <v>23</v>
      </c>
      <c r="F14">
        <v>845</v>
      </c>
      <c r="G14">
        <v>1165</v>
      </c>
      <c r="H14">
        <f t="shared" si="0"/>
        <v>1005</v>
      </c>
      <c r="I14">
        <f t="shared" si="1"/>
        <v>935.83333333333337</v>
      </c>
    </row>
    <row r="15" spans="1:9" x14ac:dyDescent="0.2">
      <c r="A15">
        <v>1987</v>
      </c>
      <c r="B15" t="s">
        <v>1</v>
      </c>
      <c r="C15" t="s">
        <v>4</v>
      </c>
      <c r="D15" t="s">
        <v>17</v>
      </c>
      <c r="E15" t="s">
        <v>23</v>
      </c>
      <c r="F15">
        <v>845</v>
      </c>
      <c r="G15">
        <v>1165</v>
      </c>
      <c r="H15">
        <f t="shared" si="0"/>
        <v>1005</v>
      </c>
      <c r="I15">
        <f t="shared" si="1"/>
        <v>935.83333333333337</v>
      </c>
    </row>
    <row r="16" spans="1:9" x14ac:dyDescent="0.2">
      <c r="A16">
        <v>1988</v>
      </c>
      <c r="B16" t="s">
        <v>1</v>
      </c>
      <c r="C16" t="s">
        <v>4</v>
      </c>
      <c r="D16" t="s">
        <v>17</v>
      </c>
      <c r="E16" t="s">
        <v>23</v>
      </c>
      <c r="F16">
        <v>845</v>
      </c>
      <c r="G16">
        <v>1165</v>
      </c>
      <c r="H16">
        <f t="shared" si="0"/>
        <v>1005</v>
      </c>
      <c r="I16">
        <f t="shared" si="1"/>
        <v>985.83333333333337</v>
      </c>
    </row>
    <row r="17" spans="1:9" x14ac:dyDescent="0.2">
      <c r="A17">
        <v>1989</v>
      </c>
      <c r="B17" t="s">
        <v>1</v>
      </c>
      <c r="C17" t="s">
        <v>4</v>
      </c>
      <c r="D17" t="s">
        <v>17</v>
      </c>
      <c r="E17" t="s">
        <v>23</v>
      </c>
      <c r="F17">
        <v>845</v>
      </c>
      <c r="G17">
        <v>1165</v>
      </c>
      <c r="H17">
        <f t="shared" si="0"/>
        <v>1005</v>
      </c>
      <c r="I17">
        <f t="shared" si="1"/>
        <v>985.83333333333337</v>
      </c>
    </row>
    <row r="18" spans="1:9" x14ac:dyDescent="0.2">
      <c r="A18">
        <v>1990</v>
      </c>
      <c r="B18" t="s">
        <v>1</v>
      </c>
      <c r="C18" t="s">
        <v>4</v>
      </c>
      <c r="D18" t="s">
        <v>17</v>
      </c>
      <c r="E18" t="s">
        <v>23</v>
      </c>
      <c r="F18">
        <v>845</v>
      </c>
      <c r="G18">
        <v>1165</v>
      </c>
      <c r="H18">
        <f t="shared" si="0"/>
        <v>1005</v>
      </c>
      <c r="I18">
        <f t="shared" si="1"/>
        <v>985.83333333333337</v>
      </c>
    </row>
    <row r="19" spans="1:9" x14ac:dyDescent="0.2">
      <c r="A19">
        <v>1991</v>
      </c>
      <c r="B19" t="s">
        <v>1</v>
      </c>
      <c r="C19" t="s">
        <v>5</v>
      </c>
      <c r="D19">
        <v>4020</v>
      </c>
      <c r="E19" t="s">
        <v>24</v>
      </c>
      <c r="F19">
        <v>960</v>
      </c>
      <c r="G19">
        <v>1380</v>
      </c>
      <c r="H19">
        <f t="shared" si="0"/>
        <v>1170</v>
      </c>
      <c r="I19">
        <f t="shared" si="1"/>
        <v>1040.8333333333333</v>
      </c>
    </row>
    <row r="20" spans="1:9" x14ac:dyDescent="0.2">
      <c r="A20">
        <v>1992</v>
      </c>
      <c r="B20" t="s">
        <v>1</v>
      </c>
      <c r="C20" t="s">
        <v>5</v>
      </c>
      <c r="D20">
        <v>4020</v>
      </c>
      <c r="E20" t="s">
        <v>24</v>
      </c>
      <c r="F20">
        <v>960</v>
      </c>
      <c r="G20">
        <v>1380</v>
      </c>
      <c r="H20">
        <f t="shared" si="0"/>
        <v>1170</v>
      </c>
      <c r="I20">
        <f t="shared" si="1"/>
        <v>1040.8333333333333</v>
      </c>
    </row>
    <row r="21" spans="1:9" x14ac:dyDescent="0.2">
      <c r="A21">
        <v>1993</v>
      </c>
      <c r="B21" t="s">
        <v>1</v>
      </c>
      <c r="C21" t="s">
        <v>6</v>
      </c>
      <c r="D21">
        <v>4020</v>
      </c>
      <c r="E21" t="s">
        <v>24</v>
      </c>
      <c r="F21">
        <v>960</v>
      </c>
      <c r="G21">
        <v>1380</v>
      </c>
      <c r="H21">
        <f t="shared" si="0"/>
        <v>1170</v>
      </c>
      <c r="I21">
        <f t="shared" si="1"/>
        <v>1130.8333333333333</v>
      </c>
    </row>
    <row r="22" spans="1:9" x14ac:dyDescent="0.2">
      <c r="A22">
        <v>1994</v>
      </c>
      <c r="B22" t="s">
        <v>1</v>
      </c>
      <c r="C22" t="s">
        <v>6</v>
      </c>
      <c r="D22">
        <v>4020</v>
      </c>
      <c r="E22" t="s">
        <v>24</v>
      </c>
      <c r="F22">
        <v>960</v>
      </c>
      <c r="G22">
        <v>1380</v>
      </c>
      <c r="H22">
        <f t="shared" si="0"/>
        <v>1170</v>
      </c>
      <c r="I22">
        <f t="shared" si="1"/>
        <v>1130.8333333333333</v>
      </c>
    </row>
    <row r="23" spans="1:9" x14ac:dyDescent="0.2">
      <c r="A23">
        <v>1995</v>
      </c>
      <c r="B23" t="s">
        <v>1</v>
      </c>
      <c r="C23" t="s">
        <v>6</v>
      </c>
      <c r="D23">
        <v>4020</v>
      </c>
      <c r="E23" t="s">
        <v>24</v>
      </c>
      <c r="F23">
        <v>960</v>
      </c>
      <c r="G23">
        <v>1380</v>
      </c>
      <c r="H23">
        <f t="shared" si="0"/>
        <v>1170</v>
      </c>
      <c r="I23">
        <f t="shared" si="1"/>
        <v>1160</v>
      </c>
    </row>
    <row r="24" spans="1:9" x14ac:dyDescent="0.2">
      <c r="A24">
        <v>1996</v>
      </c>
      <c r="B24" t="s">
        <v>1</v>
      </c>
      <c r="C24" t="s">
        <v>6</v>
      </c>
      <c r="D24">
        <v>4020</v>
      </c>
      <c r="E24" t="s">
        <v>24</v>
      </c>
      <c r="F24">
        <v>960</v>
      </c>
      <c r="G24">
        <v>1380</v>
      </c>
      <c r="H24">
        <f t="shared" si="0"/>
        <v>1170</v>
      </c>
      <c r="I24">
        <f t="shared" si="1"/>
        <v>1160</v>
      </c>
    </row>
    <row r="25" spans="1:9" x14ac:dyDescent="0.2">
      <c r="A25">
        <v>1997</v>
      </c>
      <c r="B25" t="s">
        <v>1</v>
      </c>
      <c r="C25" t="s">
        <v>7</v>
      </c>
      <c r="D25" t="s">
        <v>18</v>
      </c>
      <c r="E25">
        <v>1735</v>
      </c>
      <c r="F25">
        <v>1050</v>
      </c>
      <c r="G25">
        <v>1477</v>
      </c>
      <c r="H25">
        <f t="shared" si="0"/>
        <v>1263.5</v>
      </c>
      <c r="I25">
        <f t="shared" si="1"/>
        <v>1191.1666666666667</v>
      </c>
    </row>
    <row r="26" spans="1:9" x14ac:dyDescent="0.2">
      <c r="A26">
        <v>1998</v>
      </c>
      <c r="B26" t="s">
        <v>1</v>
      </c>
      <c r="C26" t="s">
        <v>8</v>
      </c>
      <c r="D26" t="s">
        <v>18</v>
      </c>
      <c r="E26">
        <v>1735</v>
      </c>
      <c r="F26">
        <v>1050</v>
      </c>
      <c r="G26">
        <v>1477</v>
      </c>
      <c r="H26">
        <f t="shared" si="0"/>
        <v>1263.5</v>
      </c>
      <c r="I26">
        <f t="shared" si="1"/>
        <v>1191.1666666666667</v>
      </c>
    </row>
    <row r="27" spans="1:9" x14ac:dyDescent="0.2">
      <c r="A27">
        <v>1999</v>
      </c>
      <c r="B27" t="s">
        <v>1</v>
      </c>
      <c r="C27" t="s">
        <v>8</v>
      </c>
      <c r="D27" t="s">
        <v>18</v>
      </c>
      <c r="E27">
        <v>1735</v>
      </c>
      <c r="F27">
        <v>1050</v>
      </c>
      <c r="G27">
        <v>1477</v>
      </c>
      <c r="H27">
        <f t="shared" si="0"/>
        <v>1263.5</v>
      </c>
      <c r="I27">
        <f t="shared" si="1"/>
        <v>1180.3333333333333</v>
      </c>
    </row>
    <row r="28" spans="1:9" x14ac:dyDescent="0.2">
      <c r="A28">
        <v>2000</v>
      </c>
      <c r="B28" t="s">
        <v>1</v>
      </c>
      <c r="C28" t="s">
        <v>8</v>
      </c>
      <c r="D28" t="s">
        <v>18</v>
      </c>
      <c r="E28">
        <v>1735</v>
      </c>
      <c r="F28">
        <v>1050</v>
      </c>
      <c r="G28">
        <v>1477</v>
      </c>
      <c r="H28">
        <f t="shared" si="0"/>
        <v>1263.5</v>
      </c>
      <c r="I28">
        <f t="shared" si="1"/>
        <v>1180.3333333333333</v>
      </c>
    </row>
    <row r="29" spans="1:9" x14ac:dyDescent="0.2">
      <c r="A29">
        <v>2001</v>
      </c>
      <c r="B29" t="s">
        <v>1</v>
      </c>
      <c r="C29" t="s">
        <v>8</v>
      </c>
      <c r="D29" t="s">
        <v>18</v>
      </c>
      <c r="E29">
        <v>1735</v>
      </c>
      <c r="F29">
        <v>1050</v>
      </c>
      <c r="G29">
        <v>1477</v>
      </c>
      <c r="H29">
        <f t="shared" si="0"/>
        <v>1263.5</v>
      </c>
      <c r="I29">
        <f t="shared" si="1"/>
        <v>1304.8333333333333</v>
      </c>
    </row>
    <row r="30" spans="1:9" x14ac:dyDescent="0.2">
      <c r="A30">
        <v>2002</v>
      </c>
      <c r="B30" t="s">
        <v>1</v>
      </c>
      <c r="C30" t="s">
        <v>8</v>
      </c>
      <c r="D30" t="s">
        <v>18</v>
      </c>
      <c r="E30">
        <v>1735</v>
      </c>
      <c r="F30">
        <v>1050</v>
      </c>
      <c r="G30">
        <v>1477</v>
      </c>
      <c r="H30">
        <f t="shared" si="0"/>
        <v>1263.5</v>
      </c>
      <c r="I30">
        <f t="shared" si="1"/>
        <v>1304.8333333333333</v>
      </c>
    </row>
    <row r="31" spans="1:9" x14ac:dyDescent="0.2">
      <c r="A31">
        <v>2003</v>
      </c>
      <c r="B31" t="s">
        <v>1</v>
      </c>
      <c r="C31" t="s">
        <v>9</v>
      </c>
      <c r="D31" t="s">
        <v>19</v>
      </c>
      <c r="E31">
        <v>1759</v>
      </c>
      <c r="F31">
        <v>1155</v>
      </c>
      <c r="G31">
        <v>1590</v>
      </c>
      <c r="H31">
        <f t="shared" si="0"/>
        <v>1372.5</v>
      </c>
      <c r="I31">
        <f t="shared" si="1"/>
        <v>1341.1666666666667</v>
      </c>
    </row>
    <row r="32" spans="1:9" x14ac:dyDescent="0.2">
      <c r="A32">
        <v>2004</v>
      </c>
      <c r="B32" t="s">
        <v>1</v>
      </c>
      <c r="C32" t="s">
        <v>10</v>
      </c>
      <c r="D32" t="s">
        <v>19</v>
      </c>
      <c r="E32">
        <v>1759</v>
      </c>
      <c r="F32">
        <v>1155</v>
      </c>
      <c r="G32">
        <v>1590</v>
      </c>
      <c r="H32">
        <f t="shared" si="0"/>
        <v>1372.5</v>
      </c>
      <c r="I32">
        <f t="shared" si="1"/>
        <v>1341.1666666666667</v>
      </c>
    </row>
    <row r="33" spans="1:9" x14ac:dyDescent="0.2">
      <c r="A33">
        <v>2005</v>
      </c>
      <c r="B33" t="s">
        <v>1</v>
      </c>
      <c r="C33" t="s">
        <v>10</v>
      </c>
      <c r="D33" t="s">
        <v>19</v>
      </c>
      <c r="E33">
        <v>1759</v>
      </c>
      <c r="F33">
        <v>1155</v>
      </c>
      <c r="G33">
        <v>1590</v>
      </c>
      <c r="H33">
        <f t="shared" si="0"/>
        <v>1372.5</v>
      </c>
      <c r="I33">
        <f t="shared" si="1"/>
        <v>1341.1666666666667</v>
      </c>
    </row>
    <row r="34" spans="1:9" x14ac:dyDescent="0.2">
      <c r="A34">
        <v>2006</v>
      </c>
      <c r="B34" t="s">
        <v>1</v>
      </c>
      <c r="C34" t="s">
        <v>10</v>
      </c>
      <c r="D34" t="s">
        <v>19</v>
      </c>
      <c r="E34">
        <v>1759</v>
      </c>
      <c r="F34">
        <v>1155</v>
      </c>
      <c r="G34">
        <v>1590</v>
      </c>
      <c r="H34">
        <f t="shared" si="0"/>
        <v>1372.5</v>
      </c>
      <c r="I34">
        <f t="shared" si="1"/>
        <v>1341.1666666666667</v>
      </c>
    </row>
    <row r="35" spans="1:9" x14ac:dyDescent="0.2">
      <c r="A35">
        <v>2007</v>
      </c>
      <c r="B35" t="s">
        <v>1</v>
      </c>
      <c r="C35" t="s">
        <v>10</v>
      </c>
      <c r="D35" t="s">
        <v>19</v>
      </c>
      <c r="E35">
        <v>1759</v>
      </c>
      <c r="F35">
        <v>1155</v>
      </c>
      <c r="G35">
        <v>1590</v>
      </c>
      <c r="H35">
        <f t="shared" si="0"/>
        <v>1372.5</v>
      </c>
      <c r="I35">
        <f t="shared" si="1"/>
        <v>1392.8333333333333</v>
      </c>
    </row>
    <row r="36" spans="1:9" x14ac:dyDescent="0.2">
      <c r="A36">
        <v>2008</v>
      </c>
      <c r="B36" t="s">
        <v>1</v>
      </c>
      <c r="C36" t="s">
        <v>11</v>
      </c>
      <c r="D36" t="s">
        <v>20</v>
      </c>
      <c r="E36" t="s">
        <v>25</v>
      </c>
      <c r="F36">
        <v>1271</v>
      </c>
      <c r="G36">
        <v>1541</v>
      </c>
      <c r="H36">
        <f t="shared" si="0"/>
        <v>1406</v>
      </c>
      <c r="I36">
        <f t="shared" si="1"/>
        <v>1404</v>
      </c>
    </row>
    <row r="37" spans="1:9" x14ac:dyDescent="0.2">
      <c r="A37">
        <v>2009</v>
      </c>
      <c r="B37" t="s">
        <v>1</v>
      </c>
      <c r="C37" t="s">
        <v>12</v>
      </c>
      <c r="D37" t="s">
        <v>20</v>
      </c>
      <c r="E37" t="s">
        <v>25</v>
      </c>
      <c r="F37">
        <v>1271</v>
      </c>
      <c r="G37">
        <v>1541</v>
      </c>
      <c r="H37">
        <f t="shared" si="0"/>
        <v>1406</v>
      </c>
      <c r="I37">
        <f t="shared" si="1"/>
        <v>1404</v>
      </c>
    </row>
    <row r="38" spans="1:9" x14ac:dyDescent="0.2">
      <c r="A38">
        <v>2010</v>
      </c>
      <c r="B38" t="s">
        <v>1</v>
      </c>
      <c r="C38" t="s">
        <v>12</v>
      </c>
      <c r="D38" t="s">
        <v>20</v>
      </c>
      <c r="E38" t="s">
        <v>25</v>
      </c>
      <c r="F38">
        <v>1271</v>
      </c>
      <c r="G38">
        <v>1541</v>
      </c>
      <c r="H38">
        <f t="shared" si="0"/>
        <v>1406</v>
      </c>
      <c r="I38">
        <f>AVERAGE(H38,H88,H139)</f>
        <v>1404</v>
      </c>
    </row>
    <row r="39" spans="1:9" x14ac:dyDescent="0.2">
      <c r="A39">
        <v>2011</v>
      </c>
      <c r="B39" t="s">
        <v>1</v>
      </c>
      <c r="C39" t="s">
        <v>12</v>
      </c>
      <c r="D39" t="s">
        <v>20</v>
      </c>
      <c r="E39" t="s">
        <v>25</v>
      </c>
      <c r="F39">
        <v>1271</v>
      </c>
      <c r="G39">
        <v>1541</v>
      </c>
      <c r="H39">
        <f t="shared" si="0"/>
        <v>1406</v>
      </c>
      <c r="I39">
        <f t="shared" si="1"/>
        <v>1404</v>
      </c>
    </row>
    <row r="40" spans="1:9" x14ac:dyDescent="0.2">
      <c r="A40">
        <v>2012</v>
      </c>
      <c r="B40" t="s">
        <v>1</v>
      </c>
      <c r="C40" t="s">
        <v>13</v>
      </c>
      <c r="D40" t="s">
        <v>21</v>
      </c>
      <c r="E40" t="s">
        <v>25</v>
      </c>
      <c r="F40">
        <v>1205</v>
      </c>
      <c r="G40">
        <v>1615</v>
      </c>
      <c r="H40">
        <f t="shared" si="0"/>
        <v>1410</v>
      </c>
      <c r="I40">
        <f t="shared" si="1"/>
        <v>1405.3333333333333</v>
      </c>
    </row>
    <row r="41" spans="1:9" x14ac:dyDescent="0.2">
      <c r="A41">
        <v>2013</v>
      </c>
      <c r="B41" t="s">
        <v>1</v>
      </c>
      <c r="C41" t="s">
        <v>14</v>
      </c>
      <c r="D41" t="s">
        <v>21</v>
      </c>
      <c r="E41">
        <v>1799</v>
      </c>
      <c r="F41">
        <v>1205</v>
      </c>
      <c r="G41">
        <v>1615</v>
      </c>
      <c r="H41">
        <f t="shared" si="0"/>
        <v>1410</v>
      </c>
      <c r="I41">
        <f t="shared" si="1"/>
        <v>1370.8333333333333</v>
      </c>
    </row>
    <row r="42" spans="1:9" x14ac:dyDescent="0.2">
      <c r="A42">
        <v>2014</v>
      </c>
      <c r="B42" t="s">
        <v>1</v>
      </c>
      <c r="C42" t="s">
        <v>14</v>
      </c>
      <c r="D42" t="s">
        <v>21</v>
      </c>
      <c r="E42">
        <v>1799</v>
      </c>
      <c r="F42">
        <v>1205</v>
      </c>
      <c r="G42">
        <v>1615</v>
      </c>
      <c r="H42">
        <f t="shared" si="0"/>
        <v>1410</v>
      </c>
      <c r="I42">
        <f t="shared" si="1"/>
        <v>1370.8333333333333</v>
      </c>
    </row>
    <row r="43" spans="1:9" x14ac:dyDescent="0.2">
      <c r="A43">
        <v>2015</v>
      </c>
      <c r="B43" t="s">
        <v>1</v>
      </c>
      <c r="C43" t="s">
        <v>14</v>
      </c>
      <c r="D43" t="s">
        <v>21</v>
      </c>
      <c r="E43">
        <v>1799</v>
      </c>
      <c r="F43">
        <v>1205</v>
      </c>
      <c r="G43">
        <v>1615</v>
      </c>
      <c r="H43">
        <f t="shared" si="0"/>
        <v>1410</v>
      </c>
      <c r="I43">
        <f t="shared" si="1"/>
        <v>1370.8333333333333</v>
      </c>
    </row>
    <row r="44" spans="1:9" x14ac:dyDescent="0.2">
      <c r="A44">
        <v>2016</v>
      </c>
      <c r="B44" t="s">
        <v>1</v>
      </c>
      <c r="C44" t="s">
        <v>14</v>
      </c>
      <c r="D44" t="s">
        <v>21</v>
      </c>
      <c r="E44">
        <v>1799</v>
      </c>
      <c r="F44">
        <v>1205</v>
      </c>
      <c r="G44">
        <v>1615</v>
      </c>
      <c r="H44">
        <f t="shared" si="0"/>
        <v>1410</v>
      </c>
      <c r="I44">
        <f t="shared" si="1"/>
        <v>1370.8333333333333</v>
      </c>
    </row>
    <row r="45" spans="1:9" x14ac:dyDescent="0.2">
      <c r="A45">
        <v>2017</v>
      </c>
      <c r="B45" t="s">
        <v>1</v>
      </c>
      <c r="C45" t="s">
        <v>14</v>
      </c>
      <c r="D45" t="s">
        <v>21</v>
      </c>
      <c r="E45">
        <v>1799</v>
      </c>
      <c r="F45">
        <v>1205</v>
      </c>
      <c r="G45">
        <v>1615</v>
      </c>
      <c r="H45">
        <f t="shared" si="0"/>
        <v>1410</v>
      </c>
      <c r="I45">
        <f t="shared" si="1"/>
        <v>1370.8333333333333</v>
      </c>
    </row>
    <row r="46" spans="1:9" x14ac:dyDescent="0.2">
      <c r="A46">
        <v>2018</v>
      </c>
      <c r="B46" t="s">
        <v>1</v>
      </c>
      <c r="C46" t="s">
        <v>14</v>
      </c>
      <c r="D46" t="s">
        <v>21</v>
      </c>
      <c r="E46">
        <v>1799</v>
      </c>
      <c r="F46">
        <v>1205</v>
      </c>
      <c r="G46">
        <v>1615</v>
      </c>
      <c r="H46">
        <f t="shared" si="0"/>
        <v>1410</v>
      </c>
      <c r="I46">
        <f t="shared" si="1"/>
        <v>1421.6666666666667</v>
      </c>
    </row>
    <row r="47" spans="1:9" x14ac:dyDescent="0.2">
      <c r="A47">
        <v>2019</v>
      </c>
      <c r="B47" t="s">
        <v>1</v>
      </c>
      <c r="C47" t="s">
        <v>15</v>
      </c>
      <c r="D47" t="s">
        <v>22</v>
      </c>
      <c r="E47">
        <v>1789</v>
      </c>
      <c r="F47">
        <v>1255</v>
      </c>
      <c r="G47">
        <v>1630</v>
      </c>
      <c r="H47">
        <f t="shared" si="0"/>
        <v>1442.5</v>
      </c>
      <c r="I47">
        <f t="shared" si="1"/>
        <v>1432.5</v>
      </c>
    </row>
    <row r="48" spans="1:9" x14ac:dyDescent="0.2">
      <c r="A48">
        <v>2020</v>
      </c>
      <c r="B48" t="s">
        <v>1</v>
      </c>
      <c r="C48" t="s">
        <v>15</v>
      </c>
      <c r="D48" t="s">
        <v>22</v>
      </c>
      <c r="E48">
        <v>1789</v>
      </c>
      <c r="F48">
        <v>1255</v>
      </c>
      <c r="G48">
        <v>1630</v>
      </c>
      <c r="H48">
        <f t="shared" si="0"/>
        <v>1442.5</v>
      </c>
      <c r="I48">
        <f t="shared" si="1"/>
        <v>1432.5</v>
      </c>
    </row>
    <row r="49" spans="1:9" x14ac:dyDescent="0.2">
      <c r="A49">
        <v>2021</v>
      </c>
      <c r="B49" t="s">
        <v>1</v>
      </c>
      <c r="C49" t="s">
        <v>15</v>
      </c>
      <c r="D49" t="s">
        <v>22</v>
      </c>
      <c r="E49">
        <v>1789</v>
      </c>
      <c r="F49">
        <v>1255</v>
      </c>
      <c r="G49">
        <v>1630</v>
      </c>
      <c r="H49">
        <f t="shared" si="0"/>
        <v>1442.5</v>
      </c>
      <c r="I49">
        <f t="shared" si="1"/>
        <v>1475.8333333333333</v>
      </c>
    </row>
    <row r="50" spans="1:9" x14ac:dyDescent="0.2">
      <c r="A50">
        <v>2022</v>
      </c>
      <c r="B50" t="s">
        <v>1</v>
      </c>
      <c r="C50" t="s">
        <v>16</v>
      </c>
      <c r="D50" t="s">
        <v>22</v>
      </c>
      <c r="E50">
        <v>1789</v>
      </c>
      <c r="F50">
        <v>1255</v>
      </c>
      <c r="G50">
        <v>1630</v>
      </c>
      <c r="H50">
        <f t="shared" si="0"/>
        <v>1442.5</v>
      </c>
      <c r="I50">
        <f t="shared" si="1"/>
        <v>1475.8333333333333</v>
      </c>
    </row>
    <row r="51" spans="1:9" x14ac:dyDescent="0.2">
      <c r="A51">
        <v>2023</v>
      </c>
      <c r="B51" t="s">
        <v>1</v>
      </c>
      <c r="C51" t="s">
        <v>16</v>
      </c>
      <c r="D51" t="s">
        <v>22</v>
      </c>
      <c r="E51">
        <v>1789</v>
      </c>
      <c r="F51">
        <v>1255</v>
      </c>
      <c r="G51">
        <v>1630</v>
      </c>
      <c r="H51">
        <f t="shared" si="0"/>
        <v>1442.5</v>
      </c>
      <c r="I51">
        <f t="shared" si="1"/>
        <v>1475.8333333333333</v>
      </c>
    </row>
    <row r="52" spans="1:9" x14ac:dyDescent="0.2">
      <c r="A52">
        <v>2024</v>
      </c>
      <c r="B52" t="s">
        <v>1</v>
      </c>
      <c r="C52" t="s">
        <v>16</v>
      </c>
      <c r="D52" t="s">
        <v>22</v>
      </c>
      <c r="E52">
        <v>1789</v>
      </c>
      <c r="F52">
        <v>1255</v>
      </c>
      <c r="G52">
        <v>1630</v>
      </c>
      <c r="H52">
        <f t="shared" ref="H52" si="2">AVERAGE(F52:G52)</f>
        <v>1442.5</v>
      </c>
      <c r="I52">
        <f t="shared" si="1"/>
        <v>1475.8333333333333</v>
      </c>
    </row>
    <row r="53" spans="1:9" x14ac:dyDescent="0.2">
      <c r="A53">
        <v>1975</v>
      </c>
      <c r="B53" t="s">
        <v>66</v>
      </c>
      <c r="C53">
        <v>305</v>
      </c>
      <c r="D53" t="s">
        <v>78</v>
      </c>
      <c r="E53" t="s">
        <v>79</v>
      </c>
      <c r="F53">
        <v>915</v>
      </c>
      <c r="G53">
        <v>1000</v>
      </c>
      <c r="H53">
        <f t="shared" si="0"/>
        <v>957.5</v>
      </c>
    </row>
    <row r="54" spans="1:9" x14ac:dyDescent="0.2">
      <c r="A54">
        <v>1976</v>
      </c>
      <c r="B54" t="s">
        <v>66</v>
      </c>
      <c r="C54">
        <v>305</v>
      </c>
      <c r="D54" t="s">
        <v>78</v>
      </c>
      <c r="E54" t="s">
        <v>79</v>
      </c>
      <c r="F54">
        <v>915</v>
      </c>
      <c r="G54">
        <v>1000</v>
      </c>
      <c r="H54">
        <f t="shared" si="0"/>
        <v>957.5</v>
      </c>
    </row>
    <row r="55" spans="1:9" x14ac:dyDescent="0.2">
      <c r="A55">
        <v>1977</v>
      </c>
      <c r="B55" t="s">
        <v>66</v>
      </c>
      <c r="C55">
        <v>305</v>
      </c>
      <c r="D55" t="s">
        <v>78</v>
      </c>
      <c r="E55" t="s">
        <v>79</v>
      </c>
      <c r="F55">
        <v>915</v>
      </c>
      <c r="G55">
        <v>1000</v>
      </c>
      <c r="H55">
        <f t="shared" si="0"/>
        <v>957.5</v>
      </c>
    </row>
    <row r="56" spans="1:9" x14ac:dyDescent="0.2">
      <c r="A56">
        <v>1978</v>
      </c>
      <c r="B56" t="s">
        <v>66</v>
      </c>
      <c r="C56">
        <v>305</v>
      </c>
      <c r="D56" t="s">
        <v>78</v>
      </c>
      <c r="E56" t="s">
        <v>79</v>
      </c>
      <c r="F56">
        <v>915</v>
      </c>
      <c r="G56">
        <v>1000</v>
      </c>
      <c r="H56">
        <f t="shared" si="0"/>
        <v>957.5</v>
      </c>
    </row>
    <row r="57" spans="1:9" x14ac:dyDescent="0.2">
      <c r="A57">
        <v>1979</v>
      </c>
      <c r="B57" t="s">
        <v>66</v>
      </c>
      <c r="C57">
        <v>305</v>
      </c>
      <c r="D57" t="s">
        <v>78</v>
      </c>
      <c r="E57" t="s">
        <v>79</v>
      </c>
      <c r="F57">
        <v>915</v>
      </c>
      <c r="G57">
        <v>1000</v>
      </c>
      <c r="H57">
        <f t="shared" si="0"/>
        <v>957.5</v>
      </c>
    </row>
    <row r="58" spans="1:9" x14ac:dyDescent="0.2">
      <c r="A58">
        <v>1980</v>
      </c>
      <c r="B58" t="s">
        <v>66</v>
      </c>
      <c r="C58">
        <v>305</v>
      </c>
      <c r="D58" t="s">
        <v>78</v>
      </c>
      <c r="E58" t="s">
        <v>79</v>
      </c>
      <c r="F58">
        <v>915</v>
      </c>
      <c r="G58">
        <v>1000</v>
      </c>
      <c r="H58">
        <f t="shared" si="0"/>
        <v>957.5</v>
      </c>
    </row>
    <row r="59" spans="1:9" x14ac:dyDescent="0.2">
      <c r="A59">
        <v>1981</v>
      </c>
      <c r="B59" t="s">
        <v>66</v>
      </c>
      <c r="C59">
        <v>305</v>
      </c>
      <c r="D59" t="s">
        <v>78</v>
      </c>
      <c r="E59" t="s">
        <v>79</v>
      </c>
      <c r="F59">
        <v>915</v>
      </c>
      <c r="G59">
        <v>1000</v>
      </c>
      <c r="H59">
        <f t="shared" si="0"/>
        <v>957.5</v>
      </c>
    </row>
    <row r="60" spans="1:9" x14ac:dyDescent="0.2">
      <c r="A60">
        <v>1982</v>
      </c>
      <c r="B60" t="s">
        <v>66</v>
      </c>
      <c r="C60">
        <v>305</v>
      </c>
      <c r="D60" t="s">
        <v>78</v>
      </c>
      <c r="E60" t="s">
        <v>79</v>
      </c>
      <c r="F60">
        <v>915</v>
      </c>
      <c r="G60">
        <v>1000</v>
      </c>
      <c r="H60">
        <f t="shared" si="0"/>
        <v>957.5</v>
      </c>
    </row>
    <row r="61" spans="1:9" x14ac:dyDescent="0.2">
      <c r="A61">
        <v>1983</v>
      </c>
      <c r="B61" t="s">
        <v>66</v>
      </c>
      <c r="C61">
        <v>305</v>
      </c>
      <c r="D61" t="s">
        <v>78</v>
      </c>
      <c r="E61" t="s">
        <v>79</v>
      </c>
      <c r="F61">
        <v>915</v>
      </c>
      <c r="G61">
        <v>1000</v>
      </c>
      <c r="H61">
        <f t="shared" si="0"/>
        <v>957.5</v>
      </c>
    </row>
    <row r="62" spans="1:9" x14ac:dyDescent="0.2">
      <c r="A62">
        <v>1984</v>
      </c>
      <c r="B62" t="s">
        <v>66</v>
      </c>
      <c r="C62">
        <v>305</v>
      </c>
      <c r="D62" t="s">
        <v>78</v>
      </c>
      <c r="E62" t="s">
        <v>79</v>
      </c>
      <c r="F62">
        <v>915</v>
      </c>
      <c r="G62">
        <v>1000</v>
      </c>
      <c r="H62">
        <f t="shared" si="0"/>
        <v>957.5</v>
      </c>
    </row>
    <row r="63" spans="1:9" x14ac:dyDescent="0.2">
      <c r="A63">
        <v>1985</v>
      </c>
      <c r="B63" t="s">
        <v>66</v>
      </c>
      <c r="C63" t="s">
        <v>80</v>
      </c>
      <c r="D63">
        <v>4050</v>
      </c>
      <c r="E63">
        <v>1630</v>
      </c>
      <c r="F63">
        <v>835</v>
      </c>
      <c r="G63">
        <v>990</v>
      </c>
      <c r="H63">
        <f t="shared" si="0"/>
        <v>912.5</v>
      </c>
    </row>
    <row r="64" spans="1:9" x14ac:dyDescent="0.2">
      <c r="A64">
        <v>1986</v>
      </c>
      <c r="B64" t="s">
        <v>66</v>
      </c>
      <c r="C64" t="s">
        <v>80</v>
      </c>
      <c r="D64">
        <v>4050</v>
      </c>
      <c r="E64">
        <v>1630</v>
      </c>
      <c r="F64">
        <v>835</v>
      </c>
      <c r="G64">
        <v>990</v>
      </c>
      <c r="H64">
        <f t="shared" si="0"/>
        <v>912.5</v>
      </c>
    </row>
    <row r="65" spans="1:8" x14ac:dyDescent="0.2">
      <c r="A65">
        <v>1987</v>
      </c>
      <c r="B65" t="s">
        <v>66</v>
      </c>
      <c r="C65" t="s">
        <v>80</v>
      </c>
      <c r="D65">
        <v>4050</v>
      </c>
      <c r="E65">
        <v>1630</v>
      </c>
      <c r="F65">
        <v>835</v>
      </c>
      <c r="G65">
        <v>990</v>
      </c>
      <c r="H65">
        <f t="shared" si="0"/>
        <v>912.5</v>
      </c>
    </row>
    <row r="66" spans="1:8" x14ac:dyDescent="0.2">
      <c r="A66">
        <v>1988</v>
      </c>
      <c r="B66" t="s">
        <v>66</v>
      </c>
      <c r="C66" t="s">
        <v>80</v>
      </c>
      <c r="D66">
        <v>4050</v>
      </c>
      <c r="E66">
        <v>1630</v>
      </c>
      <c r="F66">
        <v>835</v>
      </c>
      <c r="G66">
        <v>990</v>
      </c>
      <c r="H66">
        <f t="shared" si="0"/>
        <v>912.5</v>
      </c>
    </row>
    <row r="67" spans="1:8" x14ac:dyDescent="0.2">
      <c r="A67">
        <v>1989</v>
      </c>
      <c r="B67" t="s">
        <v>66</v>
      </c>
      <c r="C67">
        <v>309</v>
      </c>
      <c r="D67">
        <v>4050</v>
      </c>
      <c r="E67">
        <v>1630</v>
      </c>
      <c r="F67">
        <v>835</v>
      </c>
      <c r="G67">
        <v>990</v>
      </c>
      <c r="H67">
        <f t="shared" si="0"/>
        <v>912.5</v>
      </c>
    </row>
    <row r="68" spans="1:8" x14ac:dyDescent="0.2">
      <c r="A68">
        <v>1990</v>
      </c>
      <c r="B68" t="s">
        <v>66</v>
      </c>
      <c r="C68">
        <v>309</v>
      </c>
      <c r="D68">
        <v>4050</v>
      </c>
      <c r="E68">
        <v>1630</v>
      </c>
      <c r="F68">
        <v>835</v>
      </c>
      <c r="G68">
        <v>990</v>
      </c>
      <c r="H68">
        <f t="shared" si="0"/>
        <v>912.5</v>
      </c>
    </row>
    <row r="69" spans="1:8" x14ac:dyDescent="0.2">
      <c r="A69">
        <v>1991</v>
      </c>
      <c r="B69" t="s">
        <v>66</v>
      </c>
      <c r="C69">
        <v>309</v>
      </c>
      <c r="D69">
        <v>4050</v>
      </c>
      <c r="E69">
        <v>1630</v>
      </c>
      <c r="F69">
        <v>835</v>
      </c>
      <c r="G69">
        <v>990</v>
      </c>
      <c r="H69">
        <f t="shared" si="0"/>
        <v>912.5</v>
      </c>
    </row>
    <row r="70" spans="1:8" x14ac:dyDescent="0.2">
      <c r="A70">
        <v>1992</v>
      </c>
      <c r="B70" t="s">
        <v>66</v>
      </c>
      <c r="C70">
        <v>309</v>
      </c>
      <c r="D70">
        <v>4050</v>
      </c>
      <c r="E70">
        <v>1630</v>
      </c>
      <c r="F70">
        <v>835</v>
      </c>
      <c r="G70">
        <v>990</v>
      </c>
      <c r="H70">
        <f t="shared" ref="H70:H133" si="3">AVERAGE(F70:G70)</f>
        <v>912.5</v>
      </c>
    </row>
    <row r="71" spans="1:8" x14ac:dyDescent="0.2">
      <c r="A71">
        <v>1993</v>
      </c>
      <c r="B71" t="s">
        <v>66</v>
      </c>
      <c r="C71" t="s">
        <v>81</v>
      </c>
      <c r="D71" t="s">
        <v>82</v>
      </c>
      <c r="E71" t="s">
        <v>83</v>
      </c>
      <c r="F71">
        <v>1020</v>
      </c>
      <c r="G71">
        <v>1345</v>
      </c>
      <c r="H71">
        <f t="shared" si="3"/>
        <v>1182.5</v>
      </c>
    </row>
    <row r="72" spans="1:8" x14ac:dyDescent="0.2">
      <c r="A72">
        <v>1994</v>
      </c>
      <c r="B72" t="s">
        <v>66</v>
      </c>
      <c r="C72">
        <v>306</v>
      </c>
      <c r="D72" t="s">
        <v>82</v>
      </c>
      <c r="E72" t="s">
        <v>83</v>
      </c>
      <c r="F72">
        <v>1020</v>
      </c>
      <c r="G72">
        <v>1345</v>
      </c>
      <c r="H72">
        <f t="shared" si="3"/>
        <v>1182.5</v>
      </c>
    </row>
    <row r="73" spans="1:8" x14ac:dyDescent="0.2">
      <c r="A73">
        <v>1995</v>
      </c>
      <c r="B73" t="s">
        <v>66</v>
      </c>
      <c r="C73">
        <v>306</v>
      </c>
      <c r="D73" t="s">
        <v>82</v>
      </c>
      <c r="E73" t="s">
        <v>83</v>
      </c>
      <c r="F73">
        <v>1020</v>
      </c>
      <c r="G73">
        <v>1345</v>
      </c>
      <c r="H73">
        <f t="shared" si="3"/>
        <v>1182.5</v>
      </c>
    </row>
    <row r="74" spans="1:8" x14ac:dyDescent="0.2">
      <c r="A74">
        <v>1996</v>
      </c>
      <c r="B74" t="s">
        <v>66</v>
      </c>
      <c r="C74">
        <v>306</v>
      </c>
      <c r="D74" t="s">
        <v>82</v>
      </c>
      <c r="E74" t="s">
        <v>83</v>
      </c>
      <c r="F74">
        <v>1020</v>
      </c>
      <c r="G74">
        <v>1345</v>
      </c>
      <c r="H74">
        <f t="shared" si="3"/>
        <v>1182.5</v>
      </c>
    </row>
    <row r="75" spans="1:8" x14ac:dyDescent="0.2">
      <c r="A75">
        <v>1997</v>
      </c>
      <c r="B75" t="s">
        <v>66</v>
      </c>
      <c r="C75">
        <v>306</v>
      </c>
      <c r="D75" t="s">
        <v>82</v>
      </c>
      <c r="E75" t="s">
        <v>83</v>
      </c>
      <c r="F75">
        <v>1020</v>
      </c>
      <c r="G75">
        <v>1345</v>
      </c>
      <c r="H75">
        <f t="shared" si="3"/>
        <v>1182.5</v>
      </c>
    </row>
    <row r="76" spans="1:8" x14ac:dyDescent="0.2">
      <c r="A76">
        <v>1998</v>
      </c>
      <c r="B76" t="s">
        <v>66</v>
      </c>
      <c r="C76">
        <v>306</v>
      </c>
      <c r="D76" t="s">
        <v>82</v>
      </c>
      <c r="E76" t="s">
        <v>83</v>
      </c>
      <c r="F76">
        <v>1020</v>
      </c>
      <c r="G76">
        <v>1345</v>
      </c>
      <c r="H76">
        <f t="shared" si="3"/>
        <v>1182.5</v>
      </c>
    </row>
    <row r="77" spans="1:8" x14ac:dyDescent="0.2">
      <c r="A77">
        <v>1999</v>
      </c>
      <c r="B77" t="s">
        <v>66</v>
      </c>
      <c r="C77">
        <v>306</v>
      </c>
      <c r="D77" t="s">
        <v>82</v>
      </c>
      <c r="E77" t="s">
        <v>83</v>
      </c>
      <c r="F77">
        <v>1020</v>
      </c>
      <c r="G77">
        <v>1345</v>
      </c>
      <c r="H77">
        <f t="shared" si="3"/>
        <v>1182.5</v>
      </c>
    </row>
    <row r="78" spans="1:8" x14ac:dyDescent="0.2">
      <c r="A78">
        <v>2000</v>
      </c>
      <c r="B78" t="s">
        <v>66</v>
      </c>
      <c r="C78">
        <v>306</v>
      </c>
      <c r="D78" t="s">
        <v>82</v>
      </c>
      <c r="E78" t="s">
        <v>83</v>
      </c>
      <c r="F78">
        <v>1020</v>
      </c>
      <c r="G78">
        <v>1345</v>
      </c>
      <c r="H78">
        <f t="shared" si="3"/>
        <v>1182.5</v>
      </c>
    </row>
    <row r="79" spans="1:8" x14ac:dyDescent="0.2">
      <c r="A79">
        <v>2001</v>
      </c>
      <c r="B79" t="s">
        <v>66</v>
      </c>
      <c r="C79" t="s">
        <v>84</v>
      </c>
      <c r="D79" t="s">
        <v>85</v>
      </c>
      <c r="E79" t="s">
        <v>86</v>
      </c>
      <c r="F79">
        <v>1217</v>
      </c>
      <c r="G79">
        <v>1685</v>
      </c>
      <c r="H79">
        <f t="shared" si="3"/>
        <v>1451</v>
      </c>
    </row>
    <row r="80" spans="1:8" x14ac:dyDescent="0.2">
      <c r="A80">
        <v>2002</v>
      </c>
      <c r="B80" t="s">
        <v>66</v>
      </c>
      <c r="C80" t="s">
        <v>84</v>
      </c>
      <c r="D80" t="s">
        <v>85</v>
      </c>
      <c r="E80" t="s">
        <v>86</v>
      </c>
      <c r="F80">
        <v>1217</v>
      </c>
      <c r="G80">
        <v>1685</v>
      </c>
      <c r="H80">
        <f t="shared" si="3"/>
        <v>1451</v>
      </c>
    </row>
    <row r="81" spans="1:8" x14ac:dyDescent="0.2">
      <c r="A81">
        <v>2003</v>
      </c>
      <c r="B81" t="s">
        <v>66</v>
      </c>
      <c r="C81">
        <v>307</v>
      </c>
      <c r="D81" t="s">
        <v>85</v>
      </c>
      <c r="E81" t="s">
        <v>86</v>
      </c>
      <c r="F81">
        <v>1217</v>
      </c>
      <c r="G81">
        <v>1685</v>
      </c>
      <c r="H81">
        <f t="shared" si="3"/>
        <v>1451</v>
      </c>
    </row>
    <row r="82" spans="1:8" x14ac:dyDescent="0.2">
      <c r="A82">
        <v>2004</v>
      </c>
      <c r="B82" t="s">
        <v>66</v>
      </c>
      <c r="C82">
        <v>307</v>
      </c>
      <c r="D82" t="s">
        <v>85</v>
      </c>
      <c r="E82" t="s">
        <v>86</v>
      </c>
      <c r="F82">
        <v>1217</v>
      </c>
      <c r="G82">
        <v>1685</v>
      </c>
      <c r="H82">
        <f t="shared" si="3"/>
        <v>1451</v>
      </c>
    </row>
    <row r="83" spans="1:8" x14ac:dyDescent="0.2">
      <c r="A83">
        <v>2005</v>
      </c>
      <c r="B83" t="s">
        <v>66</v>
      </c>
      <c r="C83">
        <v>307</v>
      </c>
      <c r="D83" t="s">
        <v>85</v>
      </c>
      <c r="E83" t="s">
        <v>86</v>
      </c>
      <c r="F83">
        <v>1217</v>
      </c>
      <c r="G83">
        <v>1685</v>
      </c>
      <c r="H83">
        <f t="shared" si="3"/>
        <v>1451</v>
      </c>
    </row>
    <row r="84" spans="1:8" x14ac:dyDescent="0.2">
      <c r="A84">
        <v>2006</v>
      </c>
      <c r="B84" t="s">
        <v>66</v>
      </c>
      <c r="C84">
        <v>307</v>
      </c>
      <c r="D84" t="s">
        <v>85</v>
      </c>
      <c r="E84" t="s">
        <v>86</v>
      </c>
      <c r="F84">
        <v>1217</v>
      </c>
      <c r="G84">
        <v>1685</v>
      </c>
      <c r="H84">
        <f t="shared" si="3"/>
        <v>1451</v>
      </c>
    </row>
    <row r="85" spans="1:8" x14ac:dyDescent="0.2">
      <c r="A85">
        <v>2007</v>
      </c>
      <c r="B85" t="s">
        <v>66</v>
      </c>
      <c r="C85" t="s">
        <v>87</v>
      </c>
      <c r="D85" t="s">
        <v>88</v>
      </c>
      <c r="E85" t="s">
        <v>89</v>
      </c>
      <c r="F85">
        <v>1277</v>
      </c>
      <c r="G85">
        <v>1555</v>
      </c>
      <c r="H85">
        <f t="shared" si="3"/>
        <v>1416</v>
      </c>
    </row>
    <row r="86" spans="1:8" x14ac:dyDescent="0.2">
      <c r="A86">
        <v>2008</v>
      </c>
      <c r="B86" t="s">
        <v>66</v>
      </c>
      <c r="C86" t="s">
        <v>87</v>
      </c>
      <c r="D86" t="s">
        <v>88</v>
      </c>
      <c r="E86" t="s">
        <v>89</v>
      </c>
      <c r="F86">
        <v>1277</v>
      </c>
      <c r="G86">
        <v>1555</v>
      </c>
      <c r="H86">
        <f t="shared" si="3"/>
        <v>1416</v>
      </c>
    </row>
    <row r="87" spans="1:8" x14ac:dyDescent="0.2">
      <c r="A87">
        <v>2009</v>
      </c>
      <c r="B87" t="s">
        <v>66</v>
      </c>
      <c r="C87" t="s">
        <v>87</v>
      </c>
      <c r="D87" t="s">
        <v>88</v>
      </c>
      <c r="E87" t="s">
        <v>89</v>
      </c>
      <c r="F87">
        <v>1277</v>
      </c>
      <c r="G87">
        <v>1555</v>
      </c>
      <c r="H87">
        <f t="shared" si="3"/>
        <v>1416</v>
      </c>
    </row>
    <row r="88" spans="1:8" x14ac:dyDescent="0.2">
      <c r="A88">
        <v>2010</v>
      </c>
      <c r="B88" t="s">
        <v>66</v>
      </c>
      <c r="C88">
        <v>308</v>
      </c>
      <c r="D88" t="s">
        <v>88</v>
      </c>
      <c r="E88" t="s">
        <v>89</v>
      </c>
      <c r="F88">
        <v>1277</v>
      </c>
      <c r="G88">
        <v>1555</v>
      </c>
      <c r="H88">
        <f t="shared" si="3"/>
        <v>1416</v>
      </c>
    </row>
    <row r="89" spans="1:8" x14ac:dyDescent="0.2">
      <c r="A89">
        <v>2011</v>
      </c>
      <c r="B89" t="s">
        <v>66</v>
      </c>
      <c r="C89">
        <v>308</v>
      </c>
      <c r="D89" t="s">
        <v>88</v>
      </c>
      <c r="E89" t="s">
        <v>89</v>
      </c>
      <c r="F89">
        <v>1277</v>
      </c>
      <c r="G89">
        <v>1555</v>
      </c>
      <c r="H89">
        <f t="shared" si="3"/>
        <v>1416</v>
      </c>
    </row>
    <row r="90" spans="1:8" x14ac:dyDescent="0.2">
      <c r="A90">
        <v>2012</v>
      </c>
      <c r="B90" t="s">
        <v>66</v>
      </c>
      <c r="C90">
        <v>308</v>
      </c>
      <c r="D90" t="s">
        <v>88</v>
      </c>
      <c r="E90" t="s">
        <v>89</v>
      </c>
      <c r="F90">
        <v>1277</v>
      </c>
      <c r="G90">
        <v>1555</v>
      </c>
      <c r="H90">
        <f t="shared" si="3"/>
        <v>1416</v>
      </c>
    </row>
    <row r="91" spans="1:8" x14ac:dyDescent="0.2">
      <c r="A91">
        <v>2013</v>
      </c>
      <c r="B91" t="s">
        <v>66</v>
      </c>
      <c r="C91" t="s">
        <v>90</v>
      </c>
      <c r="D91" t="s">
        <v>92</v>
      </c>
      <c r="E91">
        <v>1820</v>
      </c>
      <c r="F91">
        <v>1280</v>
      </c>
      <c r="G91">
        <v>1580</v>
      </c>
      <c r="H91">
        <f t="shared" si="3"/>
        <v>1430</v>
      </c>
    </row>
    <row r="92" spans="1:8" x14ac:dyDescent="0.2">
      <c r="A92">
        <v>2014</v>
      </c>
      <c r="B92" t="s">
        <v>66</v>
      </c>
      <c r="C92" t="s">
        <v>90</v>
      </c>
      <c r="D92" t="s">
        <v>92</v>
      </c>
      <c r="E92">
        <v>1820</v>
      </c>
      <c r="F92">
        <v>1280</v>
      </c>
      <c r="G92">
        <v>1580</v>
      </c>
      <c r="H92">
        <f t="shared" si="3"/>
        <v>1430</v>
      </c>
    </row>
    <row r="93" spans="1:8" x14ac:dyDescent="0.2">
      <c r="A93">
        <v>2015</v>
      </c>
      <c r="B93" t="s">
        <v>66</v>
      </c>
      <c r="C93" t="s">
        <v>90</v>
      </c>
      <c r="D93" t="s">
        <v>92</v>
      </c>
      <c r="E93">
        <v>1820</v>
      </c>
      <c r="F93">
        <v>1280</v>
      </c>
      <c r="G93">
        <v>1580</v>
      </c>
      <c r="H93">
        <f t="shared" si="3"/>
        <v>1430</v>
      </c>
    </row>
    <row r="94" spans="1:8" x14ac:dyDescent="0.2">
      <c r="A94">
        <v>2016</v>
      </c>
      <c r="B94" t="s">
        <v>66</v>
      </c>
      <c r="C94" t="s">
        <v>91</v>
      </c>
      <c r="D94" t="s">
        <v>92</v>
      </c>
      <c r="E94">
        <v>1820</v>
      </c>
      <c r="F94">
        <v>1280</v>
      </c>
      <c r="G94">
        <v>1580</v>
      </c>
      <c r="H94">
        <f t="shared" si="3"/>
        <v>1430</v>
      </c>
    </row>
    <row r="95" spans="1:8" x14ac:dyDescent="0.2">
      <c r="A95">
        <v>2017</v>
      </c>
      <c r="B95" t="s">
        <v>66</v>
      </c>
      <c r="C95" t="s">
        <v>91</v>
      </c>
      <c r="D95" t="s">
        <v>92</v>
      </c>
      <c r="E95">
        <v>1820</v>
      </c>
      <c r="F95">
        <v>1280</v>
      </c>
      <c r="G95">
        <v>1580</v>
      </c>
      <c r="H95">
        <f t="shared" si="3"/>
        <v>1430</v>
      </c>
    </row>
    <row r="96" spans="1:8" x14ac:dyDescent="0.2">
      <c r="A96">
        <v>2018</v>
      </c>
      <c r="B96" t="s">
        <v>66</v>
      </c>
      <c r="C96" t="s">
        <v>91</v>
      </c>
      <c r="D96" t="s">
        <v>92</v>
      </c>
      <c r="E96">
        <v>1820</v>
      </c>
      <c r="F96">
        <v>1280</v>
      </c>
      <c r="G96">
        <v>1580</v>
      </c>
      <c r="H96">
        <f t="shared" si="3"/>
        <v>1430</v>
      </c>
    </row>
    <row r="97" spans="1:8" x14ac:dyDescent="0.2">
      <c r="A97">
        <v>2019</v>
      </c>
      <c r="B97" t="s">
        <v>66</v>
      </c>
      <c r="C97" t="s">
        <v>91</v>
      </c>
      <c r="D97" t="s">
        <v>92</v>
      </c>
      <c r="E97">
        <v>1820</v>
      </c>
      <c r="F97">
        <v>1280</v>
      </c>
      <c r="G97">
        <v>1580</v>
      </c>
      <c r="H97">
        <f t="shared" si="3"/>
        <v>1430</v>
      </c>
    </row>
    <row r="98" spans="1:8" x14ac:dyDescent="0.2">
      <c r="A98">
        <v>2020</v>
      </c>
      <c r="B98" t="s">
        <v>66</v>
      </c>
      <c r="C98" t="s">
        <v>91</v>
      </c>
      <c r="D98" t="s">
        <v>92</v>
      </c>
      <c r="E98">
        <v>1820</v>
      </c>
      <c r="F98">
        <v>1280</v>
      </c>
      <c r="G98">
        <v>1580</v>
      </c>
      <c r="H98">
        <f t="shared" si="3"/>
        <v>1430</v>
      </c>
    </row>
    <row r="99" spans="1:8" x14ac:dyDescent="0.2">
      <c r="A99">
        <v>2021</v>
      </c>
      <c r="B99" t="s">
        <v>66</v>
      </c>
      <c r="C99" t="s">
        <v>93</v>
      </c>
      <c r="D99" t="s">
        <v>95</v>
      </c>
      <c r="E99">
        <v>1852</v>
      </c>
      <c r="F99">
        <v>1329</v>
      </c>
      <c r="G99">
        <v>1791</v>
      </c>
      <c r="H99">
        <f t="shared" si="3"/>
        <v>1560</v>
      </c>
    </row>
    <row r="100" spans="1:8" x14ac:dyDescent="0.2">
      <c r="A100">
        <v>2022</v>
      </c>
      <c r="B100" t="s">
        <v>66</v>
      </c>
      <c r="C100" t="s">
        <v>94</v>
      </c>
      <c r="D100" t="s">
        <v>95</v>
      </c>
      <c r="E100">
        <v>1852</v>
      </c>
      <c r="F100">
        <v>1329</v>
      </c>
      <c r="G100">
        <v>1791</v>
      </c>
      <c r="H100">
        <f t="shared" si="3"/>
        <v>1560</v>
      </c>
    </row>
    <row r="101" spans="1:8" x14ac:dyDescent="0.2">
      <c r="A101">
        <v>2023</v>
      </c>
      <c r="B101" t="s">
        <v>66</v>
      </c>
      <c r="C101" t="s">
        <v>94</v>
      </c>
      <c r="D101" t="s">
        <v>95</v>
      </c>
      <c r="E101">
        <v>1852</v>
      </c>
      <c r="F101">
        <v>1329</v>
      </c>
      <c r="G101">
        <v>1791</v>
      </c>
      <c r="H101">
        <f t="shared" si="3"/>
        <v>1560</v>
      </c>
    </row>
    <row r="102" spans="1:8" x14ac:dyDescent="0.2">
      <c r="A102">
        <v>2024</v>
      </c>
      <c r="B102" t="s">
        <v>66</v>
      </c>
      <c r="C102" t="s">
        <v>94</v>
      </c>
      <c r="D102" t="s">
        <v>95</v>
      </c>
      <c r="E102">
        <v>1852</v>
      </c>
      <c r="F102">
        <v>1329</v>
      </c>
      <c r="G102">
        <v>1791</v>
      </c>
      <c r="H102">
        <f t="shared" si="3"/>
        <v>1560</v>
      </c>
    </row>
    <row r="103" spans="1:8" x14ac:dyDescent="0.2">
      <c r="A103">
        <v>1974</v>
      </c>
      <c r="B103" t="s">
        <v>115</v>
      </c>
      <c r="C103" t="s">
        <v>116</v>
      </c>
      <c r="D103">
        <v>3995</v>
      </c>
      <c r="E103">
        <v>1570</v>
      </c>
      <c r="F103">
        <v>785</v>
      </c>
      <c r="G103">
        <v>955</v>
      </c>
      <c r="H103">
        <f t="shared" si="3"/>
        <v>870</v>
      </c>
    </row>
    <row r="104" spans="1:8" x14ac:dyDescent="0.2">
      <c r="A104">
        <v>1975</v>
      </c>
      <c r="B104" t="s">
        <v>115</v>
      </c>
      <c r="C104" t="s">
        <v>116</v>
      </c>
      <c r="D104">
        <v>3995</v>
      </c>
      <c r="E104">
        <v>1570</v>
      </c>
      <c r="F104">
        <v>785</v>
      </c>
      <c r="G104">
        <v>955</v>
      </c>
      <c r="H104">
        <f t="shared" si="3"/>
        <v>870</v>
      </c>
    </row>
    <row r="105" spans="1:8" x14ac:dyDescent="0.2">
      <c r="A105">
        <v>1976</v>
      </c>
      <c r="B105" t="s">
        <v>115</v>
      </c>
      <c r="C105" t="s">
        <v>116</v>
      </c>
      <c r="D105">
        <v>3995</v>
      </c>
      <c r="E105">
        <v>1570</v>
      </c>
      <c r="F105">
        <v>785</v>
      </c>
      <c r="G105">
        <v>955</v>
      </c>
      <c r="H105">
        <f t="shared" si="3"/>
        <v>870</v>
      </c>
    </row>
    <row r="106" spans="1:8" x14ac:dyDescent="0.2">
      <c r="A106">
        <v>1977</v>
      </c>
      <c r="B106" t="s">
        <v>115</v>
      </c>
      <c r="C106" t="s">
        <v>116</v>
      </c>
      <c r="D106">
        <v>3995</v>
      </c>
      <c r="E106">
        <v>1570</v>
      </c>
      <c r="F106">
        <v>785</v>
      </c>
      <c r="G106">
        <v>955</v>
      </c>
      <c r="H106">
        <f t="shared" si="3"/>
        <v>870</v>
      </c>
    </row>
    <row r="107" spans="1:8" x14ac:dyDescent="0.2">
      <c r="A107">
        <v>1978</v>
      </c>
      <c r="B107" t="s">
        <v>115</v>
      </c>
      <c r="C107" t="s">
        <v>116</v>
      </c>
      <c r="D107">
        <v>3995</v>
      </c>
      <c r="E107">
        <v>1570</v>
      </c>
      <c r="F107">
        <v>785</v>
      </c>
      <c r="G107">
        <v>955</v>
      </c>
      <c r="H107">
        <f t="shared" si="3"/>
        <v>870</v>
      </c>
    </row>
    <row r="108" spans="1:8" x14ac:dyDescent="0.2">
      <c r="A108">
        <v>1979</v>
      </c>
      <c r="B108" t="s">
        <v>115</v>
      </c>
      <c r="C108" t="s">
        <v>116</v>
      </c>
      <c r="D108">
        <v>3995</v>
      </c>
      <c r="E108">
        <v>1570</v>
      </c>
      <c r="F108">
        <v>785</v>
      </c>
      <c r="G108">
        <v>955</v>
      </c>
      <c r="H108">
        <f t="shared" si="3"/>
        <v>870</v>
      </c>
    </row>
    <row r="109" spans="1:8" x14ac:dyDescent="0.2">
      <c r="A109">
        <v>1980</v>
      </c>
      <c r="B109" t="s">
        <v>115</v>
      </c>
      <c r="C109" t="s">
        <v>117</v>
      </c>
      <c r="D109" t="s">
        <v>119</v>
      </c>
      <c r="E109" t="s">
        <v>120</v>
      </c>
      <c r="F109">
        <v>790</v>
      </c>
      <c r="G109">
        <v>975</v>
      </c>
      <c r="H109">
        <f t="shared" si="3"/>
        <v>882.5</v>
      </c>
    </row>
    <row r="110" spans="1:8" x14ac:dyDescent="0.2">
      <c r="A110">
        <v>1981</v>
      </c>
      <c r="B110" t="s">
        <v>115</v>
      </c>
      <c r="C110" t="s">
        <v>117</v>
      </c>
      <c r="D110" t="s">
        <v>119</v>
      </c>
      <c r="E110" t="s">
        <v>120</v>
      </c>
      <c r="F110">
        <v>790</v>
      </c>
      <c r="G110">
        <v>975</v>
      </c>
      <c r="H110">
        <f t="shared" si="3"/>
        <v>882.5</v>
      </c>
    </row>
    <row r="111" spans="1:8" x14ac:dyDescent="0.2">
      <c r="A111">
        <v>1982</v>
      </c>
      <c r="B111" t="s">
        <v>115</v>
      </c>
      <c r="C111" t="s">
        <v>118</v>
      </c>
      <c r="D111" t="s">
        <v>119</v>
      </c>
      <c r="E111" t="s">
        <v>120</v>
      </c>
      <c r="F111">
        <v>790</v>
      </c>
      <c r="G111">
        <v>975</v>
      </c>
      <c r="H111">
        <f t="shared" si="3"/>
        <v>882.5</v>
      </c>
    </row>
    <row r="112" spans="1:8" x14ac:dyDescent="0.2">
      <c r="A112">
        <v>1983</v>
      </c>
      <c r="B112" t="s">
        <v>115</v>
      </c>
      <c r="C112" t="s">
        <v>121</v>
      </c>
      <c r="D112">
        <v>4135</v>
      </c>
      <c r="E112">
        <v>1635</v>
      </c>
      <c r="F112">
        <v>840</v>
      </c>
      <c r="G112">
        <v>940</v>
      </c>
      <c r="H112">
        <f t="shared" si="3"/>
        <v>890</v>
      </c>
    </row>
    <row r="113" spans="1:8" x14ac:dyDescent="0.2">
      <c r="A113">
        <v>1984</v>
      </c>
      <c r="B113" t="s">
        <v>115</v>
      </c>
      <c r="C113" t="s">
        <v>121</v>
      </c>
      <c r="D113">
        <v>4135</v>
      </c>
      <c r="E113">
        <v>1635</v>
      </c>
      <c r="F113">
        <v>840</v>
      </c>
      <c r="G113">
        <v>940</v>
      </c>
      <c r="H113">
        <f t="shared" si="3"/>
        <v>890</v>
      </c>
    </row>
    <row r="114" spans="1:8" x14ac:dyDescent="0.2">
      <c r="A114">
        <v>1985</v>
      </c>
      <c r="B114" t="s">
        <v>115</v>
      </c>
      <c r="C114" t="s">
        <v>121</v>
      </c>
      <c r="D114">
        <v>4135</v>
      </c>
      <c r="E114">
        <v>1635</v>
      </c>
      <c r="F114">
        <v>840</v>
      </c>
      <c r="G114">
        <v>940</v>
      </c>
      <c r="H114">
        <f t="shared" si="3"/>
        <v>890</v>
      </c>
    </row>
    <row r="115" spans="1:8" x14ac:dyDescent="0.2">
      <c r="A115">
        <v>1986</v>
      </c>
      <c r="B115" t="s">
        <v>115</v>
      </c>
      <c r="C115" t="s">
        <v>121</v>
      </c>
      <c r="D115">
        <v>4135</v>
      </c>
      <c r="E115">
        <v>1635</v>
      </c>
      <c r="F115">
        <v>840</v>
      </c>
      <c r="G115">
        <v>940</v>
      </c>
      <c r="H115">
        <f t="shared" si="3"/>
        <v>890</v>
      </c>
    </row>
    <row r="116" spans="1:8" x14ac:dyDescent="0.2">
      <c r="A116">
        <v>1987</v>
      </c>
      <c r="B116" t="s">
        <v>115</v>
      </c>
      <c r="C116" t="s">
        <v>121</v>
      </c>
      <c r="D116">
        <v>4135</v>
      </c>
      <c r="E116">
        <v>1635</v>
      </c>
      <c r="F116">
        <v>840</v>
      </c>
      <c r="G116">
        <v>940</v>
      </c>
      <c r="H116">
        <f t="shared" si="3"/>
        <v>890</v>
      </c>
    </row>
    <row r="117" spans="1:8" x14ac:dyDescent="0.2">
      <c r="A117">
        <v>1988</v>
      </c>
      <c r="B117" t="s">
        <v>115</v>
      </c>
      <c r="C117" t="s">
        <v>122</v>
      </c>
      <c r="D117" t="s">
        <v>123</v>
      </c>
      <c r="E117" t="s">
        <v>124</v>
      </c>
      <c r="F117">
        <v>880</v>
      </c>
      <c r="G117">
        <v>1200</v>
      </c>
      <c r="H117">
        <f t="shared" si="3"/>
        <v>1040</v>
      </c>
    </row>
    <row r="118" spans="1:8" x14ac:dyDescent="0.2">
      <c r="A118">
        <v>1989</v>
      </c>
      <c r="B118" t="s">
        <v>115</v>
      </c>
      <c r="C118" t="s">
        <v>122</v>
      </c>
      <c r="D118" t="s">
        <v>123</v>
      </c>
      <c r="E118" t="s">
        <v>124</v>
      </c>
      <c r="F118">
        <v>880</v>
      </c>
      <c r="G118">
        <v>1200</v>
      </c>
      <c r="H118">
        <f t="shared" si="3"/>
        <v>1040</v>
      </c>
    </row>
    <row r="119" spans="1:8" x14ac:dyDescent="0.2">
      <c r="A119">
        <v>1990</v>
      </c>
      <c r="B119" t="s">
        <v>115</v>
      </c>
      <c r="C119" t="s">
        <v>122</v>
      </c>
      <c r="D119" t="s">
        <v>123</v>
      </c>
      <c r="E119" t="s">
        <v>124</v>
      </c>
      <c r="F119">
        <v>880</v>
      </c>
      <c r="G119">
        <v>1200</v>
      </c>
      <c r="H119">
        <f t="shared" si="3"/>
        <v>1040</v>
      </c>
    </row>
    <row r="120" spans="1:8" x14ac:dyDescent="0.2">
      <c r="A120">
        <v>1991</v>
      </c>
      <c r="B120" t="s">
        <v>115</v>
      </c>
      <c r="C120" t="s">
        <v>122</v>
      </c>
      <c r="D120" t="s">
        <v>123</v>
      </c>
      <c r="E120" t="s">
        <v>124</v>
      </c>
      <c r="F120">
        <v>880</v>
      </c>
      <c r="G120">
        <v>1200</v>
      </c>
      <c r="H120">
        <f t="shared" si="3"/>
        <v>1040</v>
      </c>
    </row>
    <row r="121" spans="1:8" x14ac:dyDescent="0.2">
      <c r="A121">
        <v>1992</v>
      </c>
      <c r="B121" t="s">
        <v>115</v>
      </c>
      <c r="C121" t="s">
        <v>125</v>
      </c>
      <c r="D121" t="s">
        <v>127</v>
      </c>
      <c r="E121" t="s">
        <v>128</v>
      </c>
      <c r="F121">
        <v>920</v>
      </c>
      <c r="G121">
        <v>1160</v>
      </c>
      <c r="H121">
        <f t="shared" si="3"/>
        <v>1040</v>
      </c>
    </row>
    <row r="122" spans="1:8" x14ac:dyDescent="0.2">
      <c r="A122">
        <v>1993</v>
      </c>
      <c r="B122" t="s">
        <v>115</v>
      </c>
      <c r="C122" t="s">
        <v>126</v>
      </c>
      <c r="D122" t="s">
        <v>127</v>
      </c>
      <c r="E122" t="s">
        <v>128</v>
      </c>
      <c r="F122">
        <v>920</v>
      </c>
      <c r="G122">
        <v>1160</v>
      </c>
      <c r="H122">
        <f t="shared" si="3"/>
        <v>1040</v>
      </c>
    </row>
    <row r="123" spans="1:8" x14ac:dyDescent="0.2">
      <c r="A123">
        <v>1994</v>
      </c>
      <c r="B123" t="s">
        <v>115</v>
      </c>
      <c r="C123" t="s">
        <v>126</v>
      </c>
      <c r="D123" t="s">
        <v>127</v>
      </c>
      <c r="E123" t="s">
        <v>128</v>
      </c>
      <c r="F123">
        <v>920</v>
      </c>
      <c r="G123">
        <v>1160</v>
      </c>
      <c r="H123">
        <f t="shared" si="3"/>
        <v>1040</v>
      </c>
    </row>
    <row r="124" spans="1:8" x14ac:dyDescent="0.2">
      <c r="A124">
        <v>1995</v>
      </c>
      <c r="B124" t="s">
        <v>115</v>
      </c>
      <c r="C124" t="s">
        <v>129</v>
      </c>
      <c r="D124" t="s">
        <v>131</v>
      </c>
      <c r="E124">
        <v>1690</v>
      </c>
      <c r="F124">
        <v>1095</v>
      </c>
      <c r="G124">
        <v>1160</v>
      </c>
      <c r="H124">
        <f t="shared" si="3"/>
        <v>1127.5</v>
      </c>
    </row>
    <row r="125" spans="1:8" x14ac:dyDescent="0.2">
      <c r="A125">
        <v>1996</v>
      </c>
      <c r="B125" t="s">
        <v>115</v>
      </c>
      <c r="C125" t="s">
        <v>129</v>
      </c>
      <c r="D125" t="s">
        <v>131</v>
      </c>
      <c r="E125">
        <v>1690</v>
      </c>
      <c r="F125">
        <v>1095</v>
      </c>
      <c r="G125">
        <v>1160</v>
      </c>
      <c r="H125">
        <f t="shared" si="3"/>
        <v>1127.5</v>
      </c>
    </row>
    <row r="126" spans="1:8" x14ac:dyDescent="0.2">
      <c r="A126">
        <v>1997</v>
      </c>
      <c r="B126" t="s">
        <v>115</v>
      </c>
      <c r="C126" t="s">
        <v>129</v>
      </c>
      <c r="D126" t="s">
        <v>131</v>
      </c>
      <c r="E126">
        <v>1690</v>
      </c>
      <c r="F126">
        <v>1095</v>
      </c>
      <c r="G126">
        <v>1160</v>
      </c>
      <c r="H126">
        <f t="shared" si="3"/>
        <v>1127.5</v>
      </c>
    </row>
    <row r="127" spans="1:8" x14ac:dyDescent="0.2">
      <c r="A127">
        <v>1998</v>
      </c>
      <c r="B127" t="s">
        <v>115</v>
      </c>
      <c r="C127" t="s">
        <v>129</v>
      </c>
      <c r="D127" t="s">
        <v>131</v>
      </c>
      <c r="E127">
        <v>1690</v>
      </c>
      <c r="F127">
        <v>1095</v>
      </c>
      <c r="G127">
        <v>1160</v>
      </c>
      <c r="H127">
        <f t="shared" si="3"/>
        <v>1127.5</v>
      </c>
    </row>
    <row r="128" spans="1:8" x14ac:dyDescent="0.2">
      <c r="A128">
        <v>1999</v>
      </c>
      <c r="B128" t="s">
        <v>115</v>
      </c>
      <c r="C128" t="s">
        <v>130</v>
      </c>
      <c r="D128" t="s">
        <v>131</v>
      </c>
      <c r="E128">
        <v>1690</v>
      </c>
      <c r="F128">
        <v>1095</v>
      </c>
      <c r="H128">
        <f t="shared" si="3"/>
        <v>1095</v>
      </c>
    </row>
    <row r="129" spans="1:8" x14ac:dyDescent="0.2">
      <c r="A129">
        <v>2000</v>
      </c>
      <c r="B129" t="s">
        <v>115</v>
      </c>
      <c r="C129" t="s">
        <v>130</v>
      </c>
      <c r="D129" t="s">
        <v>131</v>
      </c>
      <c r="E129">
        <v>1690</v>
      </c>
      <c r="F129">
        <v>1095</v>
      </c>
      <c r="H129">
        <f t="shared" si="3"/>
        <v>1095</v>
      </c>
    </row>
    <row r="130" spans="1:8" x14ac:dyDescent="0.2">
      <c r="A130">
        <v>2001</v>
      </c>
      <c r="B130" t="s">
        <v>115</v>
      </c>
      <c r="C130" t="s">
        <v>132</v>
      </c>
      <c r="D130" t="s">
        <v>134</v>
      </c>
      <c r="E130" t="s">
        <v>135</v>
      </c>
      <c r="F130">
        <v>1070</v>
      </c>
      <c r="G130">
        <v>1330</v>
      </c>
      <c r="H130">
        <f t="shared" si="3"/>
        <v>1200</v>
      </c>
    </row>
    <row r="131" spans="1:8" x14ac:dyDescent="0.2">
      <c r="A131">
        <v>2002</v>
      </c>
      <c r="B131" t="s">
        <v>115</v>
      </c>
      <c r="C131" t="s">
        <v>132</v>
      </c>
      <c r="D131" t="s">
        <v>134</v>
      </c>
      <c r="E131" t="s">
        <v>135</v>
      </c>
      <c r="F131">
        <v>1070</v>
      </c>
      <c r="G131">
        <v>1330</v>
      </c>
      <c r="H131">
        <f t="shared" si="3"/>
        <v>1200</v>
      </c>
    </row>
    <row r="132" spans="1:8" x14ac:dyDescent="0.2">
      <c r="A132">
        <v>2003</v>
      </c>
      <c r="B132" t="s">
        <v>115</v>
      </c>
      <c r="C132" t="s">
        <v>133</v>
      </c>
      <c r="D132" t="s">
        <v>134</v>
      </c>
      <c r="E132" t="s">
        <v>135</v>
      </c>
      <c r="F132">
        <v>1070</v>
      </c>
      <c r="G132">
        <v>1330</v>
      </c>
      <c r="H132">
        <f t="shared" si="3"/>
        <v>1200</v>
      </c>
    </row>
    <row r="133" spans="1:8" x14ac:dyDescent="0.2">
      <c r="A133">
        <v>2004</v>
      </c>
      <c r="B133" t="s">
        <v>115</v>
      </c>
      <c r="C133" t="s">
        <v>133</v>
      </c>
      <c r="D133" t="s">
        <v>134</v>
      </c>
      <c r="E133" t="s">
        <v>135</v>
      </c>
      <c r="F133">
        <v>1070</v>
      </c>
      <c r="G133">
        <v>1330</v>
      </c>
      <c r="H133">
        <f t="shared" si="3"/>
        <v>1200</v>
      </c>
    </row>
    <row r="134" spans="1:8" x14ac:dyDescent="0.2">
      <c r="A134">
        <v>2005</v>
      </c>
      <c r="B134" t="s">
        <v>115</v>
      </c>
      <c r="C134" t="s">
        <v>133</v>
      </c>
      <c r="D134" t="s">
        <v>134</v>
      </c>
      <c r="E134" t="s">
        <v>135</v>
      </c>
      <c r="F134">
        <v>1070</v>
      </c>
      <c r="G134">
        <v>1330</v>
      </c>
      <c r="H134">
        <f t="shared" ref="H134:H153" si="4">AVERAGE(F134:G134)</f>
        <v>1200</v>
      </c>
    </row>
    <row r="135" spans="1:8" x14ac:dyDescent="0.2">
      <c r="A135">
        <v>2006</v>
      </c>
      <c r="B135" t="s">
        <v>115</v>
      </c>
      <c r="C135" t="s">
        <v>133</v>
      </c>
      <c r="D135" t="s">
        <v>134</v>
      </c>
      <c r="E135" t="s">
        <v>135</v>
      </c>
      <c r="F135">
        <v>1070</v>
      </c>
      <c r="G135">
        <v>1330</v>
      </c>
      <c r="H135">
        <f t="shared" si="4"/>
        <v>1200</v>
      </c>
    </row>
    <row r="136" spans="1:8" x14ac:dyDescent="0.2">
      <c r="A136">
        <v>2007</v>
      </c>
      <c r="B136" t="s">
        <v>115</v>
      </c>
      <c r="C136" t="s">
        <v>137</v>
      </c>
      <c r="D136" t="s">
        <v>138</v>
      </c>
      <c r="E136" t="s">
        <v>139</v>
      </c>
      <c r="F136">
        <v>1370</v>
      </c>
      <c r="G136">
        <v>1410</v>
      </c>
      <c r="H136">
        <f t="shared" si="4"/>
        <v>1390</v>
      </c>
    </row>
    <row r="137" spans="1:8" x14ac:dyDescent="0.2">
      <c r="A137">
        <v>2008</v>
      </c>
      <c r="B137" t="s">
        <v>115</v>
      </c>
      <c r="C137" t="s">
        <v>136</v>
      </c>
      <c r="D137" t="s">
        <v>138</v>
      </c>
      <c r="E137" t="s">
        <v>139</v>
      </c>
      <c r="F137">
        <v>1370</v>
      </c>
      <c r="G137">
        <v>1410</v>
      </c>
      <c r="H137">
        <f t="shared" si="4"/>
        <v>1390</v>
      </c>
    </row>
    <row r="138" spans="1:8" x14ac:dyDescent="0.2">
      <c r="A138">
        <v>2009</v>
      </c>
      <c r="B138" t="s">
        <v>115</v>
      </c>
      <c r="C138" t="s">
        <v>136</v>
      </c>
      <c r="D138" t="s">
        <v>138</v>
      </c>
      <c r="E138" t="s">
        <v>139</v>
      </c>
      <c r="F138">
        <v>1370</v>
      </c>
      <c r="G138">
        <v>1410</v>
      </c>
      <c r="H138">
        <f t="shared" si="4"/>
        <v>1390</v>
      </c>
    </row>
    <row r="139" spans="1:8" x14ac:dyDescent="0.2">
      <c r="A139">
        <v>2010</v>
      </c>
      <c r="B139" t="s">
        <v>115</v>
      </c>
      <c r="C139" t="s">
        <v>136</v>
      </c>
      <c r="D139" t="s">
        <v>138</v>
      </c>
      <c r="E139" t="s">
        <v>139</v>
      </c>
      <c r="F139">
        <v>1370</v>
      </c>
      <c r="G139">
        <v>1410</v>
      </c>
      <c r="H139">
        <f t="shared" si="4"/>
        <v>1390</v>
      </c>
    </row>
    <row r="140" spans="1:8" x14ac:dyDescent="0.2">
      <c r="A140">
        <v>2011</v>
      </c>
      <c r="B140" t="s">
        <v>115</v>
      </c>
      <c r="C140" t="s">
        <v>136</v>
      </c>
      <c r="D140" t="s">
        <v>138</v>
      </c>
      <c r="E140" t="s">
        <v>139</v>
      </c>
      <c r="F140">
        <v>1370</v>
      </c>
      <c r="G140">
        <v>1410</v>
      </c>
      <c r="H140">
        <f t="shared" si="4"/>
        <v>1390</v>
      </c>
    </row>
    <row r="141" spans="1:8" x14ac:dyDescent="0.2">
      <c r="A141">
        <v>2012</v>
      </c>
      <c r="B141" t="s">
        <v>115</v>
      </c>
      <c r="C141" t="s">
        <v>136</v>
      </c>
      <c r="D141" t="s">
        <v>138</v>
      </c>
      <c r="E141" t="s">
        <v>139</v>
      </c>
      <c r="F141">
        <v>1370</v>
      </c>
      <c r="G141">
        <v>1410</v>
      </c>
      <c r="H141">
        <f t="shared" si="4"/>
        <v>1390</v>
      </c>
    </row>
    <row r="142" spans="1:8" x14ac:dyDescent="0.2">
      <c r="A142">
        <v>2013</v>
      </c>
      <c r="B142" t="s">
        <v>115</v>
      </c>
      <c r="C142" t="s">
        <v>140</v>
      </c>
      <c r="D142" t="s">
        <v>141</v>
      </c>
      <c r="E142">
        <v>1775</v>
      </c>
      <c r="F142">
        <v>1245</v>
      </c>
      <c r="G142">
        <v>1300</v>
      </c>
      <c r="H142">
        <f t="shared" si="4"/>
        <v>1272.5</v>
      </c>
    </row>
    <row r="143" spans="1:8" x14ac:dyDescent="0.2">
      <c r="A143">
        <v>2014</v>
      </c>
      <c r="B143" t="s">
        <v>115</v>
      </c>
      <c r="C143" t="s">
        <v>140</v>
      </c>
      <c r="D143" t="s">
        <v>141</v>
      </c>
      <c r="E143">
        <v>1775</v>
      </c>
      <c r="F143">
        <v>1245</v>
      </c>
      <c r="G143">
        <v>1300</v>
      </c>
      <c r="H143">
        <f t="shared" si="4"/>
        <v>1272.5</v>
      </c>
    </row>
    <row r="144" spans="1:8" x14ac:dyDescent="0.2">
      <c r="A144">
        <v>2015</v>
      </c>
      <c r="B144" t="s">
        <v>115</v>
      </c>
      <c r="C144" t="s">
        <v>140</v>
      </c>
      <c r="D144" t="s">
        <v>141</v>
      </c>
      <c r="E144">
        <v>1775</v>
      </c>
      <c r="F144">
        <v>1245</v>
      </c>
      <c r="G144">
        <v>1300</v>
      </c>
      <c r="H144">
        <f t="shared" si="4"/>
        <v>1272.5</v>
      </c>
    </row>
    <row r="145" spans="1:8" x14ac:dyDescent="0.2">
      <c r="A145">
        <v>2016</v>
      </c>
      <c r="B145" t="s">
        <v>115</v>
      </c>
      <c r="C145" t="s">
        <v>140</v>
      </c>
      <c r="D145" t="s">
        <v>141</v>
      </c>
      <c r="E145">
        <v>1775</v>
      </c>
      <c r="F145">
        <v>1245</v>
      </c>
      <c r="G145">
        <v>1300</v>
      </c>
      <c r="H145">
        <f t="shared" si="4"/>
        <v>1272.5</v>
      </c>
    </row>
    <row r="146" spans="1:8" x14ac:dyDescent="0.2">
      <c r="A146">
        <v>2017</v>
      </c>
      <c r="B146" t="s">
        <v>115</v>
      </c>
      <c r="C146" t="s">
        <v>140</v>
      </c>
      <c r="D146" t="s">
        <v>141</v>
      </c>
      <c r="E146">
        <v>1775</v>
      </c>
      <c r="F146">
        <v>1245</v>
      </c>
      <c r="G146">
        <v>1300</v>
      </c>
      <c r="H146">
        <f t="shared" si="4"/>
        <v>1272.5</v>
      </c>
    </row>
    <row r="147" spans="1:8" x14ac:dyDescent="0.2">
      <c r="A147">
        <v>2018</v>
      </c>
      <c r="B147" t="s">
        <v>115</v>
      </c>
      <c r="C147" t="s">
        <v>142</v>
      </c>
      <c r="D147" t="s">
        <v>143</v>
      </c>
      <c r="E147" t="s">
        <v>144</v>
      </c>
      <c r="F147">
        <v>1290</v>
      </c>
      <c r="G147">
        <v>1560</v>
      </c>
      <c r="H147">
        <f t="shared" si="4"/>
        <v>1425</v>
      </c>
    </row>
    <row r="148" spans="1:8" x14ac:dyDescent="0.2">
      <c r="A148">
        <v>2019</v>
      </c>
      <c r="B148" t="s">
        <v>115</v>
      </c>
      <c r="C148" t="s">
        <v>142</v>
      </c>
      <c r="D148" t="s">
        <v>143</v>
      </c>
      <c r="E148" t="s">
        <v>144</v>
      </c>
      <c r="F148">
        <v>1290</v>
      </c>
      <c r="G148">
        <v>1560</v>
      </c>
      <c r="H148">
        <f t="shared" si="4"/>
        <v>1425</v>
      </c>
    </row>
    <row r="149" spans="1:8" x14ac:dyDescent="0.2">
      <c r="A149">
        <v>2020</v>
      </c>
      <c r="B149" t="s">
        <v>115</v>
      </c>
      <c r="C149" t="s">
        <v>142</v>
      </c>
      <c r="D149" t="s">
        <v>143</v>
      </c>
      <c r="E149" t="s">
        <v>144</v>
      </c>
      <c r="F149">
        <v>1290</v>
      </c>
      <c r="G149">
        <v>1560</v>
      </c>
      <c r="H149">
        <f t="shared" si="4"/>
        <v>1425</v>
      </c>
    </row>
    <row r="150" spans="1:8" x14ac:dyDescent="0.2">
      <c r="A150">
        <v>2021</v>
      </c>
      <c r="B150" t="s">
        <v>115</v>
      </c>
      <c r="C150" t="s">
        <v>142</v>
      </c>
      <c r="D150" t="s">
        <v>143</v>
      </c>
      <c r="E150" t="s">
        <v>144</v>
      </c>
      <c r="F150">
        <v>1290</v>
      </c>
      <c r="G150">
        <v>1560</v>
      </c>
      <c r="H150">
        <f t="shared" si="4"/>
        <v>1425</v>
      </c>
    </row>
    <row r="151" spans="1:8" x14ac:dyDescent="0.2">
      <c r="A151">
        <v>2022</v>
      </c>
      <c r="B151" t="s">
        <v>115</v>
      </c>
      <c r="C151" t="s">
        <v>142</v>
      </c>
      <c r="D151" t="s">
        <v>143</v>
      </c>
      <c r="E151" t="s">
        <v>144</v>
      </c>
      <c r="F151">
        <v>1290</v>
      </c>
      <c r="G151">
        <v>1560</v>
      </c>
      <c r="H151">
        <f t="shared" si="4"/>
        <v>1425</v>
      </c>
    </row>
    <row r="152" spans="1:8" x14ac:dyDescent="0.2">
      <c r="A152">
        <v>2023</v>
      </c>
      <c r="B152" t="s">
        <v>115</v>
      </c>
      <c r="C152" t="s">
        <v>142</v>
      </c>
      <c r="D152" t="s">
        <v>143</v>
      </c>
      <c r="E152" t="s">
        <v>144</v>
      </c>
      <c r="F152">
        <v>1290</v>
      </c>
      <c r="G152">
        <v>1560</v>
      </c>
      <c r="H152">
        <f t="shared" si="4"/>
        <v>1425</v>
      </c>
    </row>
    <row r="153" spans="1:8" x14ac:dyDescent="0.2">
      <c r="A153">
        <v>2024</v>
      </c>
      <c r="B153" t="s">
        <v>115</v>
      </c>
      <c r="C153" t="s">
        <v>142</v>
      </c>
      <c r="D153" t="s">
        <v>143</v>
      </c>
      <c r="E153" t="s">
        <v>144</v>
      </c>
      <c r="F153">
        <v>1290</v>
      </c>
      <c r="G153">
        <v>1560</v>
      </c>
      <c r="H153">
        <f t="shared" si="4"/>
        <v>1425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002F-07A4-2F48-8796-A300EB29C830}">
  <dimension ref="A1:M131"/>
  <sheetViews>
    <sheetView zoomScale="170" zoomScaleNormal="170" workbookViewId="0">
      <selection activeCell="K66" sqref="K66"/>
    </sheetView>
  </sheetViews>
  <sheetFormatPr baseColWidth="10" defaultColWidth="10.83203125" defaultRowHeight="16" x14ac:dyDescent="0.2"/>
  <cols>
    <col min="3" max="3" width="13.83203125" customWidth="1"/>
  </cols>
  <sheetData>
    <row r="1" spans="1:9" x14ac:dyDescent="0.2">
      <c r="A1" t="s">
        <v>43</v>
      </c>
      <c r="B1" t="s">
        <v>42</v>
      </c>
      <c r="C1" t="s">
        <v>41</v>
      </c>
      <c r="D1" t="s">
        <v>40</v>
      </c>
      <c r="E1" t="s">
        <v>0</v>
      </c>
      <c r="F1" t="s">
        <v>38</v>
      </c>
      <c r="G1" t="s">
        <v>39</v>
      </c>
      <c r="H1" t="s">
        <v>233</v>
      </c>
      <c r="I1" t="s">
        <v>234</v>
      </c>
    </row>
    <row r="2" spans="1:9" x14ac:dyDescent="0.2">
      <c r="A2">
        <v>1973</v>
      </c>
      <c r="B2" t="s">
        <v>1</v>
      </c>
      <c r="C2" t="s">
        <v>44</v>
      </c>
      <c r="D2">
        <v>4200</v>
      </c>
      <c r="E2">
        <v>1620</v>
      </c>
      <c r="F2">
        <v>880</v>
      </c>
      <c r="G2">
        <v>995</v>
      </c>
      <c r="H2">
        <f>AVERAGE(F2:G2)</f>
        <v>937.5</v>
      </c>
      <c r="I2">
        <f>AVERAGE(H2,H79)</f>
        <v>1018.75</v>
      </c>
    </row>
    <row r="3" spans="1:9" x14ac:dyDescent="0.2">
      <c r="A3">
        <v>1974</v>
      </c>
      <c r="B3" t="s">
        <v>1</v>
      </c>
      <c r="C3" t="s">
        <v>44</v>
      </c>
      <c r="D3">
        <v>4200</v>
      </c>
      <c r="E3">
        <v>1620</v>
      </c>
      <c r="F3">
        <v>880</v>
      </c>
      <c r="G3">
        <v>995</v>
      </c>
      <c r="H3">
        <f t="shared" ref="H3:H66" si="0">AVERAGE(F3:G3)</f>
        <v>937.5</v>
      </c>
      <c r="I3">
        <f t="shared" ref="I3:I16" si="1">AVERAGE(H3,H80)</f>
        <v>1018.75</v>
      </c>
    </row>
    <row r="4" spans="1:9" x14ac:dyDescent="0.2">
      <c r="A4">
        <v>1975</v>
      </c>
      <c r="B4" t="s">
        <v>1</v>
      </c>
      <c r="C4" t="s">
        <v>44</v>
      </c>
      <c r="D4">
        <v>4200</v>
      </c>
      <c r="E4">
        <v>1620</v>
      </c>
      <c r="F4">
        <v>880</v>
      </c>
      <c r="G4">
        <v>995</v>
      </c>
      <c r="H4">
        <f t="shared" si="0"/>
        <v>937.5</v>
      </c>
      <c r="I4">
        <f t="shared" si="1"/>
        <v>1018.75</v>
      </c>
    </row>
    <row r="5" spans="1:9" x14ac:dyDescent="0.2">
      <c r="A5">
        <v>1976</v>
      </c>
      <c r="B5" t="s">
        <v>1</v>
      </c>
      <c r="C5" t="s">
        <v>44</v>
      </c>
      <c r="D5">
        <v>4200</v>
      </c>
      <c r="E5">
        <v>1620</v>
      </c>
      <c r="F5">
        <v>880</v>
      </c>
      <c r="G5">
        <v>995</v>
      </c>
      <c r="H5">
        <f t="shared" si="0"/>
        <v>937.5</v>
      </c>
      <c r="I5">
        <f t="shared" si="1"/>
        <v>1018.75</v>
      </c>
    </row>
    <row r="6" spans="1:9" x14ac:dyDescent="0.2">
      <c r="A6">
        <v>1977</v>
      </c>
      <c r="B6" t="s">
        <v>1</v>
      </c>
      <c r="C6" t="s">
        <v>44</v>
      </c>
      <c r="D6">
        <v>4200</v>
      </c>
      <c r="E6">
        <v>1620</v>
      </c>
      <c r="F6">
        <v>880</v>
      </c>
      <c r="G6">
        <v>995</v>
      </c>
      <c r="H6">
        <f t="shared" si="0"/>
        <v>937.5</v>
      </c>
      <c r="I6">
        <f t="shared" si="1"/>
        <v>1018.75</v>
      </c>
    </row>
    <row r="7" spans="1:9" x14ac:dyDescent="0.2">
      <c r="A7">
        <v>1978</v>
      </c>
      <c r="B7" t="s">
        <v>1</v>
      </c>
      <c r="C7" t="s">
        <v>44</v>
      </c>
      <c r="D7">
        <v>4200</v>
      </c>
      <c r="E7">
        <v>1620</v>
      </c>
      <c r="F7">
        <v>880</v>
      </c>
      <c r="G7">
        <v>995</v>
      </c>
      <c r="H7">
        <f t="shared" si="0"/>
        <v>937.5</v>
      </c>
      <c r="I7">
        <f t="shared" si="1"/>
        <v>1018.75</v>
      </c>
    </row>
    <row r="8" spans="1:9" x14ac:dyDescent="0.2">
      <c r="A8">
        <v>1979</v>
      </c>
      <c r="B8" t="s">
        <v>1</v>
      </c>
      <c r="C8" t="s">
        <v>44</v>
      </c>
      <c r="D8">
        <v>4200</v>
      </c>
      <c r="E8">
        <v>1620</v>
      </c>
      <c r="F8">
        <v>880</v>
      </c>
      <c r="G8">
        <v>995</v>
      </c>
      <c r="H8">
        <f t="shared" si="0"/>
        <v>937.5</v>
      </c>
      <c r="I8">
        <f t="shared" si="1"/>
        <v>1018.75</v>
      </c>
    </row>
    <row r="9" spans="1:9" x14ac:dyDescent="0.2">
      <c r="A9">
        <v>1980</v>
      </c>
      <c r="B9" t="s">
        <v>1</v>
      </c>
      <c r="C9" t="s">
        <v>45</v>
      </c>
      <c r="D9" t="s">
        <v>60</v>
      </c>
      <c r="E9">
        <v>1685</v>
      </c>
      <c r="F9">
        <v>845</v>
      </c>
      <c r="G9">
        <v>1250</v>
      </c>
      <c r="H9">
        <f t="shared" si="0"/>
        <v>1047.5</v>
      </c>
      <c r="I9">
        <f t="shared" si="1"/>
        <v>1073.75</v>
      </c>
    </row>
    <row r="10" spans="1:9" x14ac:dyDescent="0.2">
      <c r="A10">
        <v>1981</v>
      </c>
      <c r="B10" t="s">
        <v>1</v>
      </c>
      <c r="C10" t="s">
        <v>46</v>
      </c>
      <c r="D10" t="s">
        <v>60</v>
      </c>
      <c r="E10">
        <v>1685</v>
      </c>
      <c r="F10">
        <v>845</v>
      </c>
      <c r="G10">
        <v>1250</v>
      </c>
      <c r="H10">
        <f t="shared" si="0"/>
        <v>1047.5</v>
      </c>
      <c r="I10">
        <f t="shared" si="1"/>
        <v>1073.75</v>
      </c>
    </row>
    <row r="11" spans="1:9" x14ac:dyDescent="0.2">
      <c r="A11">
        <v>1982</v>
      </c>
      <c r="B11" t="s">
        <v>1</v>
      </c>
      <c r="C11" t="s">
        <v>46</v>
      </c>
      <c r="D11" t="s">
        <v>60</v>
      </c>
      <c r="E11">
        <v>1685</v>
      </c>
      <c r="F11">
        <v>845</v>
      </c>
      <c r="G11">
        <v>1250</v>
      </c>
      <c r="H11">
        <f t="shared" si="0"/>
        <v>1047.5</v>
      </c>
      <c r="I11">
        <f t="shared" si="1"/>
        <v>1093.75</v>
      </c>
    </row>
    <row r="12" spans="1:9" x14ac:dyDescent="0.2">
      <c r="A12">
        <v>1983</v>
      </c>
      <c r="B12" t="s">
        <v>1</v>
      </c>
      <c r="C12" t="s">
        <v>46</v>
      </c>
      <c r="D12" t="s">
        <v>60</v>
      </c>
      <c r="E12">
        <v>1685</v>
      </c>
      <c r="F12">
        <v>845</v>
      </c>
      <c r="G12">
        <v>1250</v>
      </c>
      <c r="H12">
        <f t="shared" si="0"/>
        <v>1047.5</v>
      </c>
      <c r="I12">
        <f t="shared" si="1"/>
        <v>1093.75</v>
      </c>
    </row>
    <row r="13" spans="1:9" x14ac:dyDescent="0.2">
      <c r="A13">
        <v>1984</v>
      </c>
      <c r="B13" t="s">
        <v>1</v>
      </c>
      <c r="C13" t="s">
        <v>46</v>
      </c>
      <c r="D13" t="s">
        <v>60</v>
      </c>
      <c r="E13">
        <v>1685</v>
      </c>
      <c r="F13">
        <v>845</v>
      </c>
      <c r="G13">
        <v>1250</v>
      </c>
      <c r="H13">
        <f t="shared" si="0"/>
        <v>1047.5</v>
      </c>
      <c r="I13">
        <f t="shared" si="1"/>
        <v>1093.75</v>
      </c>
    </row>
    <row r="14" spans="1:9" x14ac:dyDescent="0.2">
      <c r="A14">
        <v>1985</v>
      </c>
      <c r="B14" t="s">
        <v>1</v>
      </c>
      <c r="C14" t="s">
        <v>46</v>
      </c>
      <c r="D14" t="s">
        <v>60</v>
      </c>
      <c r="E14">
        <v>1685</v>
      </c>
      <c r="F14">
        <v>845</v>
      </c>
      <c r="G14">
        <v>1250</v>
      </c>
      <c r="H14">
        <f t="shared" si="0"/>
        <v>1047.5</v>
      </c>
      <c r="I14">
        <f t="shared" si="1"/>
        <v>1093.75</v>
      </c>
    </row>
    <row r="15" spans="1:9" x14ac:dyDescent="0.2">
      <c r="A15">
        <v>1986</v>
      </c>
      <c r="B15" t="s">
        <v>1</v>
      </c>
      <c r="C15" t="s">
        <v>46</v>
      </c>
      <c r="D15" t="s">
        <v>60</v>
      </c>
      <c r="E15">
        <v>1685</v>
      </c>
      <c r="F15">
        <v>845</v>
      </c>
      <c r="G15">
        <v>1250</v>
      </c>
      <c r="H15">
        <f t="shared" si="0"/>
        <v>1047.5</v>
      </c>
      <c r="I15">
        <f t="shared" si="1"/>
        <v>1093.75</v>
      </c>
    </row>
    <row r="16" spans="1:9" x14ac:dyDescent="0.2">
      <c r="A16">
        <v>1987</v>
      </c>
      <c r="B16" t="s">
        <v>1</v>
      </c>
      <c r="C16" t="s">
        <v>46</v>
      </c>
      <c r="D16" t="s">
        <v>60</v>
      </c>
      <c r="E16">
        <v>1685</v>
      </c>
      <c r="F16">
        <v>845</v>
      </c>
      <c r="G16">
        <v>1250</v>
      </c>
      <c r="H16">
        <f t="shared" si="0"/>
        <v>1047.5</v>
      </c>
      <c r="I16">
        <f t="shared" si="1"/>
        <v>1093.75</v>
      </c>
    </row>
    <row r="17" spans="1:9" x14ac:dyDescent="0.2">
      <c r="A17">
        <v>1988</v>
      </c>
      <c r="B17" t="s">
        <v>1</v>
      </c>
      <c r="C17" t="s">
        <v>47</v>
      </c>
      <c r="D17">
        <v>4575</v>
      </c>
      <c r="E17">
        <v>1705</v>
      </c>
      <c r="F17">
        <v>1130</v>
      </c>
      <c r="G17">
        <v>1380</v>
      </c>
      <c r="H17">
        <f t="shared" si="0"/>
        <v>1255</v>
      </c>
      <c r="I17">
        <f>AVERAGE(H17,H54,H91)</f>
        <v>1145</v>
      </c>
    </row>
    <row r="18" spans="1:9" x14ac:dyDescent="0.2">
      <c r="A18">
        <v>1989</v>
      </c>
      <c r="B18" t="s">
        <v>1</v>
      </c>
      <c r="C18" t="s">
        <v>48</v>
      </c>
      <c r="D18">
        <v>4575</v>
      </c>
      <c r="E18">
        <v>1705</v>
      </c>
      <c r="F18">
        <v>1130</v>
      </c>
      <c r="G18">
        <v>1380</v>
      </c>
      <c r="H18">
        <f t="shared" si="0"/>
        <v>1255</v>
      </c>
      <c r="I18">
        <f t="shared" ref="I18:I40" si="2">AVERAGE(H18,H55,H92)</f>
        <v>1145</v>
      </c>
    </row>
    <row r="19" spans="1:9" x14ac:dyDescent="0.2">
      <c r="A19">
        <v>1990</v>
      </c>
      <c r="B19" t="s">
        <v>1</v>
      </c>
      <c r="C19" t="s">
        <v>48</v>
      </c>
      <c r="D19">
        <v>4575</v>
      </c>
      <c r="E19">
        <v>1705</v>
      </c>
      <c r="F19">
        <v>1130</v>
      </c>
      <c r="G19">
        <v>1380</v>
      </c>
      <c r="H19">
        <f t="shared" si="0"/>
        <v>1255</v>
      </c>
      <c r="I19">
        <f t="shared" si="2"/>
        <v>1145</v>
      </c>
    </row>
    <row r="20" spans="1:9" x14ac:dyDescent="0.2">
      <c r="A20">
        <v>1991</v>
      </c>
      <c r="B20" t="s">
        <v>1</v>
      </c>
      <c r="C20" t="s">
        <v>48</v>
      </c>
      <c r="D20">
        <v>4575</v>
      </c>
      <c r="E20">
        <v>1705</v>
      </c>
      <c r="F20">
        <v>1130</v>
      </c>
      <c r="G20">
        <v>1380</v>
      </c>
      <c r="H20">
        <f t="shared" si="0"/>
        <v>1255</v>
      </c>
      <c r="I20">
        <f t="shared" si="2"/>
        <v>1145</v>
      </c>
    </row>
    <row r="21" spans="1:9" x14ac:dyDescent="0.2">
      <c r="A21">
        <v>1992</v>
      </c>
      <c r="B21" t="s">
        <v>1</v>
      </c>
      <c r="C21" t="s">
        <v>48</v>
      </c>
      <c r="D21">
        <v>4575</v>
      </c>
      <c r="E21">
        <v>1705</v>
      </c>
      <c r="F21">
        <v>1130</v>
      </c>
      <c r="G21">
        <v>1380</v>
      </c>
      <c r="H21">
        <f t="shared" si="0"/>
        <v>1255</v>
      </c>
      <c r="I21">
        <f t="shared" si="2"/>
        <v>1145</v>
      </c>
    </row>
    <row r="22" spans="1:9" x14ac:dyDescent="0.2">
      <c r="A22">
        <v>1993</v>
      </c>
      <c r="B22" t="s">
        <v>1</v>
      </c>
      <c r="C22" t="s">
        <v>49</v>
      </c>
      <c r="D22" t="s">
        <v>61</v>
      </c>
      <c r="E22">
        <v>1720</v>
      </c>
      <c r="F22">
        <v>1210</v>
      </c>
      <c r="G22">
        <v>1445</v>
      </c>
      <c r="H22">
        <f t="shared" si="0"/>
        <v>1327.5</v>
      </c>
      <c r="I22">
        <f t="shared" si="2"/>
        <v>1240.8333333333333</v>
      </c>
    </row>
    <row r="23" spans="1:9" x14ac:dyDescent="0.2">
      <c r="A23">
        <v>1994</v>
      </c>
      <c r="B23" t="s">
        <v>1</v>
      </c>
      <c r="C23" t="s">
        <v>50</v>
      </c>
      <c r="D23" t="s">
        <v>61</v>
      </c>
      <c r="E23">
        <v>1720</v>
      </c>
      <c r="F23">
        <v>1210</v>
      </c>
      <c r="G23">
        <v>1445</v>
      </c>
      <c r="H23">
        <f t="shared" si="0"/>
        <v>1327.5</v>
      </c>
      <c r="I23">
        <f t="shared" si="2"/>
        <v>1240.8333333333333</v>
      </c>
    </row>
    <row r="24" spans="1:9" x14ac:dyDescent="0.2">
      <c r="A24">
        <v>1995</v>
      </c>
      <c r="B24" t="s">
        <v>1</v>
      </c>
      <c r="C24" t="s">
        <v>50</v>
      </c>
      <c r="D24" t="s">
        <v>61</v>
      </c>
      <c r="E24">
        <v>1720</v>
      </c>
      <c r="F24">
        <v>1210</v>
      </c>
      <c r="G24">
        <v>1445</v>
      </c>
      <c r="H24">
        <f t="shared" si="0"/>
        <v>1327.5</v>
      </c>
      <c r="I24">
        <f t="shared" si="2"/>
        <v>1240.8333333333333</v>
      </c>
    </row>
    <row r="25" spans="1:9" x14ac:dyDescent="0.2">
      <c r="A25">
        <v>1996</v>
      </c>
      <c r="B25" t="s">
        <v>1</v>
      </c>
      <c r="C25" t="s">
        <v>51</v>
      </c>
      <c r="D25" t="s">
        <v>62</v>
      </c>
      <c r="E25">
        <v>1740</v>
      </c>
      <c r="F25">
        <v>1345</v>
      </c>
      <c r="G25">
        <v>1436</v>
      </c>
      <c r="H25">
        <f t="shared" si="0"/>
        <v>1390.5</v>
      </c>
      <c r="I25">
        <f t="shared" si="2"/>
        <v>1357.6666666666667</v>
      </c>
    </row>
    <row r="26" spans="1:9" x14ac:dyDescent="0.2">
      <c r="A26">
        <v>1997</v>
      </c>
      <c r="B26" t="s">
        <v>1</v>
      </c>
      <c r="C26" t="s">
        <v>51</v>
      </c>
      <c r="D26" t="s">
        <v>62</v>
      </c>
      <c r="E26">
        <v>1740</v>
      </c>
      <c r="F26">
        <v>1345</v>
      </c>
      <c r="G26">
        <v>1436</v>
      </c>
      <c r="H26">
        <f t="shared" si="0"/>
        <v>1390.5</v>
      </c>
      <c r="I26">
        <f t="shared" si="2"/>
        <v>1357.6666666666667</v>
      </c>
    </row>
    <row r="27" spans="1:9" x14ac:dyDescent="0.2">
      <c r="A27">
        <v>1998</v>
      </c>
      <c r="B27" t="s">
        <v>1</v>
      </c>
      <c r="C27" t="s">
        <v>52</v>
      </c>
      <c r="D27" t="s">
        <v>62</v>
      </c>
      <c r="E27">
        <v>1740</v>
      </c>
      <c r="F27">
        <v>1345</v>
      </c>
      <c r="G27">
        <v>1436</v>
      </c>
      <c r="H27">
        <f t="shared" si="0"/>
        <v>1390.5</v>
      </c>
      <c r="I27">
        <f t="shared" si="2"/>
        <v>1357.6666666666667</v>
      </c>
    </row>
    <row r="28" spans="1:9" x14ac:dyDescent="0.2">
      <c r="A28">
        <v>1999</v>
      </c>
      <c r="B28" t="s">
        <v>1</v>
      </c>
      <c r="C28" t="s">
        <v>52</v>
      </c>
      <c r="D28" t="s">
        <v>62</v>
      </c>
      <c r="E28">
        <v>1740</v>
      </c>
      <c r="F28">
        <v>1345</v>
      </c>
      <c r="G28">
        <v>1436</v>
      </c>
      <c r="H28">
        <f t="shared" si="0"/>
        <v>1390.5</v>
      </c>
      <c r="I28">
        <f t="shared" si="2"/>
        <v>1417.6666666666667</v>
      </c>
    </row>
    <row r="29" spans="1:9" x14ac:dyDescent="0.2">
      <c r="A29">
        <v>2000</v>
      </c>
      <c r="B29" t="s">
        <v>1</v>
      </c>
      <c r="C29" t="s">
        <v>52</v>
      </c>
      <c r="D29" t="s">
        <v>62</v>
      </c>
      <c r="E29">
        <v>1740</v>
      </c>
      <c r="F29">
        <v>1345</v>
      </c>
      <c r="G29">
        <v>1436</v>
      </c>
      <c r="H29">
        <f t="shared" si="0"/>
        <v>1390.5</v>
      </c>
      <c r="I29">
        <f t="shared" si="2"/>
        <v>1417.6666666666667</v>
      </c>
    </row>
    <row r="30" spans="1:9" x14ac:dyDescent="0.2">
      <c r="A30">
        <v>2001</v>
      </c>
      <c r="B30" t="s">
        <v>1</v>
      </c>
      <c r="C30" t="s">
        <v>52</v>
      </c>
      <c r="D30" t="s">
        <v>62</v>
      </c>
      <c r="E30">
        <v>1740</v>
      </c>
      <c r="F30">
        <v>1345</v>
      </c>
      <c r="G30">
        <v>1436</v>
      </c>
      <c r="H30">
        <f t="shared" si="0"/>
        <v>1390.5</v>
      </c>
      <c r="I30">
        <f t="shared" si="2"/>
        <v>1417.6666666666667</v>
      </c>
    </row>
    <row r="31" spans="1:9" x14ac:dyDescent="0.2">
      <c r="A31">
        <v>2002</v>
      </c>
      <c r="B31" t="s">
        <v>1</v>
      </c>
      <c r="C31" t="s">
        <v>52</v>
      </c>
      <c r="D31" t="s">
        <v>62</v>
      </c>
      <c r="E31">
        <v>1740</v>
      </c>
      <c r="F31">
        <v>1345</v>
      </c>
      <c r="G31">
        <v>1436</v>
      </c>
      <c r="H31">
        <f t="shared" si="0"/>
        <v>1390.5</v>
      </c>
      <c r="I31">
        <f t="shared" si="2"/>
        <v>1417.6666666666667</v>
      </c>
    </row>
    <row r="32" spans="1:9" x14ac:dyDescent="0.2">
      <c r="A32">
        <v>2003</v>
      </c>
      <c r="B32" t="s">
        <v>1</v>
      </c>
      <c r="C32" t="s">
        <v>52</v>
      </c>
      <c r="D32" t="s">
        <v>62</v>
      </c>
      <c r="E32">
        <v>1740</v>
      </c>
      <c r="F32">
        <v>1345</v>
      </c>
      <c r="G32">
        <v>1436</v>
      </c>
      <c r="H32">
        <f t="shared" si="0"/>
        <v>1390.5</v>
      </c>
      <c r="I32">
        <f t="shared" si="2"/>
        <v>1417.6666666666667</v>
      </c>
    </row>
    <row r="33" spans="1:9" x14ac:dyDescent="0.2">
      <c r="A33">
        <v>2004</v>
      </c>
      <c r="B33" t="s">
        <v>1</v>
      </c>
      <c r="C33" t="s">
        <v>52</v>
      </c>
      <c r="D33" t="s">
        <v>62</v>
      </c>
      <c r="E33">
        <v>1740</v>
      </c>
      <c r="F33">
        <v>1345</v>
      </c>
      <c r="G33">
        <v>1436</v>
      </c>
      <c r="H33">
        <f t="shared" si="0"/>
        <v>1390.5</v>
      </c>
      <c r="I33">
        <f t="shared" si="2"/>
        <v>1417.6666666666667</v>
      </c>
    </row>
    <row r="34" spans="1:9" x14ac:dyDescent="0.2">
      <c r="A34">
        <v>2005</v>
      </c>
      <c r="B34" t="s">
        <v>1</v>
      </c>
      <c r="C34" t="s">
        <v>53</v>
      </c>
      <c r="D34" t="s">
        <v>63</v>
      </c>
      <c r="E34">
        <v>1820</v>
      </c>
      <c r="F34">
        <v>1343</v>
      </c>
      <c r="G34">
        <v>1747</v>
      </c>
      <c r="H34">
        <f t="shared" si="0"/>
        <v>1545</v>
      </c>
      <c r="I34">
        <f t="shared" si="2"/>
        <v>1578.3333333333333</v>
      </c>
    </row>
    <row r="35" spans="1:9" x14ac:dyDescent="0.2">
      <c r="A35">
        <v>2006</v>
      </c>
      <c r="B35" t="s">
        <v>1</v>
      </c>
      <c r="C35" t="s">
        <v>54</v>
      </c>
      <c r="D35" t="s">
        <v>63</v>
      </c>
      <c r="E35">
        <v>1820</v>
      </c>
      <c r="F35">
        <v>1343</v>
      </c>
      <c r="G35">
        <v>1747</v>
      </c>
      <c r="H35">
        <f t="shared" si="0"/>
        <v>1545</v>
      </c>
      <c r="I35">
        <f t="shared" si="2"/>
        <v>1608.3333333333333</v>
      </c>
    </row>
    <row r="36" spans="1:9" x14ac:dyDescent="0.2">
      <c r="A36">
        <v>2007</v>
      </c>
      <c r="B36" t="s">
        <v>1</v>
      </c>
      <c r="C36" t="s">
        <v>54</v>
      </c>
      <c r="D36" t="s">
        <v>63</v>
      </c>
      <c r="E36">
        <v>1820</v>
      </c>
      <c r="F36">
        <v>1343</v>
      </c>
      <c r="G36">
        <v>1747</v>
      </c>
      <c r="H36">
        <f t="shared" si="0"/>
        <v>1545</v>
      </c>
      <c r="I36">
        <f t="shared" si="2"/>
        <v>1608.3333333333333</v>
      </c>
    </row>
    <row r="37" spans="1:9" x14ac:dyDescent="0.2">
      <c r="A37">
        <v>2008</v>
      </c>
      <c r="B37" t="s">
        <v>1</v>
      </c>
      <c r="C37" t="s">
        <v>54</v>
      </c>
      <c r="D37" t="s">
        <v>63</v>
      </c>
      <c r="E37">
        <v>1820</v>
      </c>
      <c r="F37">
        <v>1343</v>
      </c>
      <c r="G37">
        <v>1747</v>
      </c>
      <c r="H37">
        <f t="shared" si="0"/>
        <v>1545</v>
      </c>
      <c r="I37">
        <f t="shared" si="2"/>
        <v>1608.3333333333333</v>
      </c>
    </row>
    <row r="38" spans="1:9" x14ac:dyDescent="0.2">
      <c r="A38">
        <v>2009</v>
      </c>
      <c r="B38" t="s">
        <v>1</v>
      </c>
      <c r="C38" t="s">
        <v>54</v>
      </c>
      <c r="D38" t="s">
        <v>63</v>
      </c>
      <c r="E38">
        <v>1820</v>
      </c>
      <c r="F38">
        <v>1343</v>
      </c>
      <c r="G38">
        <v>1747</v>
      </c>
      <c r="H38">
        <f t="shared" si="0"/>
        <v>1545</v>
      </c>
      <c r="I38">
        <f t="shared" si="2"/>
        <v>1608.3333333333333</v>
      </c>
    </row>
    <row r="39" spans="1:9" x14ac:dyDescent="0.2">
      <c r="A39">
        <v>2010</v>
      </c>
      <c r="B39" t="s">
        <v>1</v>
      </c>
      <c r="C39" t="s">
        <v>55</v>
      </c>
      <c r="D39" t="s">
        <v>64</v>
      </c>
      <c r="E39">
        <v>1820</v>
      </c>
      <c r="F39">
        <v>1440</v>
      </c>
      <c r="G39">
        <v>1773</v>
      </c>
      <c r="H39">
        <f t="shared" si="0"/>
        <v>1606.5</v>
      </c>
      <c r="I39">
        <f t="shared" si="2"/>
        <v>1628.8333333333333</v>
      </c>
    </row>
    <row r="40" spans="1:9" x14ac:dyDescent="0.2">
      <c r="A40">
        <v>2011</v>
      </c>
      <c r="B40" t="s">
        <v>1</v>
      </c>
      <c r="C40" t="s">
        <v>56</v>
      </c>
      <c r="D40" t="s">
        <v>64</v>
      </c>
      <c r="E40">
        <v>1820</v>
      </c>
      <c r="F40">
        <v>1440</v>
      </c>
      <c r="G40">
        <v>1773</v>
      </c>
      <c r="H40">
        <f t="shared" si="0"/>
        <v>1606.5</v>
      </c>
      <c r="I40">
        <f t="shared" si="2"/>
        <v>1628.8333333333333</v>
      </c>
    </row>
    <row r="41" spans="1:9" x14ac:dyDescent="0.2">
      <c r="A41">
        <v>2012</v>
      </c>
      <c r="B41" t="s">
        <v>1</v>
      </c>
      <c r="C41" t="s">
        <v>56</v>
      </c>
      <c r="D41" t="s">
        <v>64</v>
      </c>
      <c r="E41">
        <v>1820</v>
      </c>
      <c r="F41">
        <v>1440</v>
      </c>
      <c r="G41">
        <v>1773</v>
      </c>
      <c r="H41">
        <f t="shared" si="0"/>
        <v>1606.5</v>
      </c>
      <c r="I41">
        <f>AVERAGE(H41,H117)</f>
        <v>1594.5</v>
      </c>
    </row>
    <row r="42" spans="1:9" x14ac:dyDescent="0.2">
      <c r="A42">
        <v>2013</v>
      </c>
      <c r="B42" t="s">
        <v>1</v>
      </c>
      <c r="C42" t="s">
        <v>56</v>
      </c>
      <c r="D42" t="s">
        <v>64</v>
      </c>
      <c r="E42">
        <v>1820</v>
      </c>
      <c r="F42">
        <v>1440</v>
      </c>
      <c r="G42">
        <v>1773</v>
      </c>
      <c r="H42">
        <f t="shared" si="0"/>
        <v>1606.5</v>
      </c>
      <c r="I42">
        <f t="shared" ref="I42:I53" si="3">AVERAGE(H42,H118)</f>
        <v>1594.5</v>
      </c>
    </row>
    <row r="43" spans="1:9" x14ac:dyDescent="0.2">
      <c r="A43">
        <v>2014</v>
      </c>
      <c r="B43" t="s">
        <v>1</v>
      </c>
      <c r="C43" t="s">
        <v>57</v>
      </c>
      <c r="D43" t="s">
        <v>65</v>
      </c>
      <c r="E43">
        <v>1832</v>
      </c>
      <c r="F43">
        <v>1367</v>
      </c>
      <c r="G43">
        <v>1776</v>
      </c>
      <c r="H43">
        <f t="shared" si="0"/>
        <v>1571.5</v>
      </c>
      <c r="I43">
        <f t="shared" si="3"/>
        <v>1577</v>
      </c>
    </row>
    <row r="44" spans="1:9" x14ac:dyDescent="0.2">
      <c r="A44">
        <v>2015</v>
      </c>
      <c r="B44" t="s">
        <v>1</v>
      </c>
      <c r="C44" t="s">
        <v>58</v>
      </c>
      <c r="D44" t="s">
        <v>65</v>
      </c>
      <c r="E44">
        <v>1832</v>
      </c>
      <c r="F44">
        <v>1367</v>
      </c>
      <c r="G44">
        <v>1776</v>
      </c>
      <c r="H44">
        <f t="shared" si="0"/>
        <v>1571.5</v>
      </c>
      <c r="I44">
        <f t="shared" si="3"/>
        <v>1577</v>
      </c>
    </row>
    <row r="45" spans="1:9" x14ac:dyDescent="0.2">
      <c r="A45">
        <v>2016</v>
      </c>
      <c r="B45" t="s">
        <v>1</v>
      </c>
      <c r="C45" t="s">
        <v>58</v>
      </c>
      <c r="D45" t="s">
        <v>65</v>
      </c>
      <c r="E45">
        <v>1832</v>
      </c>
      <c r="F45">
        <v>1367</v>
      </c>
      <c r="G45">
        <v>1776</v>
      </c>
      <c r="H45">
        <f t="shared" si="0"/>
        <v>1571.5</v>
      </c>
      <c r="I45">
        <f t="shared" si="3"/>
        <v>1577</v>
      </c>
    </row>
    <row r="46" spans="1:9" x14ac:dyDescent="0.2">
      <c r="A46">
        <v>2017</v>
      </c>
      <c r="B46" t="s">
        <v>1</v>
      </c>
      <c r="C46" t="s">
        <v>58</v>
      </c>
      <c r="D46" t="s">
        <v>65</v>
      </c>
      <c r="E46">
        <v>1832</v>
      </c>
      <c r="F46">
        <v>1367</v>
      </c>
      <c r="G46">
        <v>1776</v>
      </c>
      <c r="H46">
        <f t="shared" si="0"/>
        <v>1571.5</v>
      </c>
      <c r="I46">
        <f t="shared" si="3"/>
        <v>1577</v>
      </c>
    </row>
    <row r="47" spans="1:9" x14ac:dyDescent="0.2">
      <c r="A47">
        <v>2018</v>
      </c>
      <c r="B47" t="s">
        <v>1</v>
      </c>
      <c r="C47" t="s">
        <v>58</v>
      </c>
      <c r="D47" t="s">
        <v>65</v>
      </c>
      <c r="E47">
        <v>1832</v>
      </c>
      <c r="F47">
        <v>1367</v>
      </c>
      <c r="G47">
        <v>1776</v>
      </c>
      <c r="H47">
        <f t="shared" si="0"/>
        <v>1571.5</v>
      </c>
      <c r="I47">
        <f t="shared" si="3"/>
        <v>1639.5</v>
      </c>
    </row>
    <row r="48" spans="1:9" x14ac:dyDescent="0.2">
      <c r="A48">
        <v>2019</v>
      </c>
      <c r="B48" t="s">
        <v>1</v>
      </c>
      <c r="C48" t="s">
        <v>58</v>
      </c>
      <c r="D48" t="s">
        <v>65</v>
      </c>
      <c r="E48">
        <v>1832</v>
      </c>
      <c r="F48">
        <v>1367</v>
      </c>
      <c r="G48">
        <v>1776</v>
      </c>
      <c r="H48">
        <f t="shared" si="0"/>
        <v>1571.5</v>
      </c>
      <c r="I48">
        <f t="shared" si="3"/>
        <v>1639.5</v>
      </c>
    </row>
    <row r="49" spans="1:9" x14ac:dyDescent="0.2">
      <c r="A49">
        <v>2020</v>
      </c>
      <c r="B49" t="s">
        <v>1</v>
      </c>
      <c r="C49" t="s">
        <v>58</v>
      </c>
      <c r="D49" t="s">
        <v>65</v>
      </c>
      <c r="E49">
        <v>1832</v>
      </c>
      <c r="F49">
        <v>1367</v>
      </c>
      <c r="G49">
        <v>1776</v>
      </c>
      <c r="H49">
        <f t="shared" si="0"/>
        <v>1571.5</v>
      </c>
      <c r="I49">
        <f t="shared" si="3"/>
        <v>1639.5</v>
      </c>
    </row>
    <row r="50" spans="1:9" x14ac:dyDescent="0.2">
      <c r="A50">
        <v>2021</v>
      </c>
      <c r="B50" t="s">
        <v>1</v>
      </c>
      <c r="C50" t="s">
        <v>58</v>
      </c>
      <c r="D50" t="s">
        <v>65</v>
      </c>
      <c r="E50">
        <v>1832</v>
      </c>
      <c r="F50">
        <v>1367</v>
      </c>
      <c r="G50">
        <v>1776</v>
      </c>
      <c r="H50">
        <f t="shared" si="0"/>
        <v>1571.5</v>
      </c>
      <c r="I50">
        <f t="shared" si="3"/>
        <v>1639.5</v>
      </c>
    </row>
    <row r="51" spans="1:9" x14ac:dyDescent="0.2">
      <c r="A51">
        <v>2022</v>
      </c>
      <c r="B51" t="s">
        <v>1</v>
      </c>
      <c r="C51" t="s">
        <v>58</v>
      </c>
      <c r="D51" t="s">
        <v>65</v>
      </c>
      <c r="E51">
        <v>1832</v>
      </c>
      <c r="F51">
        <v>1367</v>
      </c>
      <c r="G51">
        <v>1776</v>
      </c>
      <c r="H51">
        <f t="shared" si="0"/>
        <v>1571.5</v>
      </c>
      <c r="I51">
        <f t="shared" si="3"/>
        <v>1639.5</v>
      </c>
    </row>
    <row r="52" spans="1:9" x14ac:dyDescent="0.2">
      <c r="A52">
        <v>2023</v>
      </c>
      <c r="B52" t="s">
        <v>1</v>
      </c>
      <c r="C52" t="s">
        <v>58</v>
      </c>
      <c r="D52" t="s">
        <v>65</v>
      </c>
      <c r="E52">
        <v>1832</v>
      </c>
      <c r="F52">
        <v>1367</v>
      </c>
      <c r="G52">
        <v>1776</v>
      </c>
      <c r="H52">
        <f t="shared" si="0"/>
        <v>1571.5</v>
      </c>
      <c r="I52">
        <f t="shared" si="3"/>
        <v>1639.5</v>
      </c>
    </row>
    <row r="53" spans="1:9" x14ac:dyDescent="0.2">
      <c r="A53">
        <v>2024</v>
      </c>
      <c r="B53" t="s">
        <v>1</v>
      </c>
      <c r="C53" t="s">
        <v>59</v>
      </c>
      <c r="D53">
        <v>4917</v>
      </c>
      <c r="E53">
        <v>1849</v>
      </c>
      <c r="F53">
        <v>1572</v>
      </c>
      <c r="G53">
        <v>1855</v>
      </c>
      <c r="H53">
        <f t="shared" si="0"/>
        <v>1713.5</v>
      </c>
      <c r="I53">
        <f t="shared" si="3"/>
        <v>1713.5</v>
      </c>
    </row>
    <row r="54" spans="1:9" x14ac:dyDescent="0.2">
      <c r="A54">
        <v>1987</v>
      </c>
      <c r="B54" t="s">
        <v>66</v>
      </c>
      <c r="C54">
        <v>405</v>
      </c>
      <c r="D54">
        <v>4408</v>
      </c>
      <c r="E54" t="s">
        <v>104</v>
      </c>
      <c r="F54">
        <v>970</v>
      </c>
      <c r="G54">
        <v>1110</v>
      </c>
      <c r="H54">
        <f t="shared" si="0"/>
        <v>1040</v>
      </c>
    </row>
    <row r="55" spans="1:9" x14ac:dyDescent="0.2">
      <c r="A55">
        <v>1988</v>
      </c>
      <c r="B55" t="s">
        <v>66</v>
      </c>
      <c r="C55">
        <v>405</v>
      </c>
      <c r="D55">
        <v>4408</v>
      </c>
      <c r="E55" t="s">
        <v>104</v>
      </c>
      <c r="F55">
        <v>970</v>
      </c>
      <c r="G55">
        <v>1110</v>
      </c>
      <c r="H55">
        <f t="shared" si="0"/>
        <v>1040</v>
      </c>
    </row>
    <row r="56" spans="1:9" x14ac:dyDescent="0.2">
      <c r="A56">
        <v>1989</v>
      </c>
      <c r="B56" t="s">
        <v>66</v>
      </c>
      <c r="C56">
        <v>405</v>
      </c>
      <c r="D56">
        <v>4408</v>
      </c>
      <c r="E56" t="s">
        <v>104</v>
      </c>
      <c r="F56">
        <v>970</v>
      </c>
      <c r="G56">
        <v>1110</v>
      </c>
      <c r="H56">
        <f t="shared" si="0"/>
        <v>1040</v>
      </c>
    </row>
    <row r="57" spans="1:9" x14ac:dyDescent="0.2">
      <c r="A57">
        <v>1990</v>
      </c>
      <c r="B57" t="s">
        <v>66</v>
      </c>
      <c r="C57">
        <v>405</v>
      </c>
      <c r="D57">
        <v>4408</v>
      </c>
      <c r="E57" t="s">
        <v>104</v>
      </c>
      <c r="F57">
        <v>970</v>
      </c>
      <c r="G57">
        <v>1110</v>
      </c>
      <c r="H57">
        <f t="shared" si="0"/>
        <v>1040</v>
      </c>
    </row>
    <row r="58" spans="1:9" x14ac:dyDescent="0.2">
      <c r="A58">
        <v>1991</v>
      </c>
      <c r="B58" t="s">
        <v>66</v>
      </c>
      <c r="C58">
        <v>405</v>
      </c>
      <c r="D58">
        <v>4408</v>
      </c>
      <c r="E58" t="s">
        <v>104</v>
      </c>
      <c r="F58">
        <v>970</v>
      </c>
      <c r="G58">
        <v>1110</v>
      </c>
      <c r="H58">
        <f t="shared" si="0"/>
        <v>1040</v>
      </c>
    </row>
    <row r="59" spans="1:9" x14ac:dyDescent="0.2">
      <c r="A59">
        <v>1992</v>
      </c>
      <c r="B59" t="s">
        <v>66</v>
      </c>
      <c r="C59">
        <v>405</v>
      </c>
      <c r="D59">
        <v>4408</v>
      </c>
      <c r="E59" t="s">
        <v>104</v>
      </c>
      <c r="F59">
        <v>970</v>
      </c>
      <c r="G59">
        <v>1110</v>
      </c>
      <c r="H59">
        <f t="shared" si="0"/>
        <v>1040</v>
      </c>
    </row>
    <row r="60" spans="1:9" x14ac:dyDescent="0.2">
      <c r="A60">
        <v>1993</v>
      </c>
      <c r="B60" t="s">
        <v>66</v>
      </c>
      <c r="C60">
        <v>405</v>
      </c>
      <c r="D60">
        <v>4408</v>
      </c>
      <c r="E60" t="s">
        <v>104</v>
      </c>
      <c r="F60">
        <v>970</v>
      </c>
      <c r="G60">
        <v>1110</v>
      </c>
      <c r="H60">
        <f t="shared" si="0"/>
        <v>1040</v>
      </c>
    </row>
    <row r="61" spans="1:9" x14ac:dyDescent="0.2">
      <c r="A61">
        <v>1994</v>
      </c>
      <c r="B61" t="s">
        <v>66</v>
      </c>
      <c r="C61">
        <v>405</v>
      </c>
      <c r="D61">
        <v>4408</v>
      </c>
      <c r="E61" t="s">
        <v>104</v>
      </c>
      <c r="F61">
        <v>970</v>
      </c>
      <c r="G61">
        <v>1110</v>
      </c>
      <c r="H61">
        <f t="shared" si="0"/>
        <v>1040</v>
      </c>
    </row>
    <row r="62" spans="1:9" x14ac:dyDescent="0.2">
      <c r="A62">
        <v>1995</v>
      </c>
      <c r="B62" t="s">
        <v>66</v>
      </c>
      <c r="C62" t="s">
        <v>103</v>
      </c>
      <c r="D62" t="s">
        <v>101</v>
      </c>
      <c r="E62" t="s">
        <v>102</v>
      </c>
      <c r="F62">
        <v>1240</v>
      </c>
      <c r="G62">
        <v>1415</v>
      </c>
      <c r="H62">
        <f t="shared" si="0"/>
        <v>1327.5</v>
      </c>
    </row>
    <row r="63" spans="1:9" x14ac:dyDescent="0.2">
      <c r="A63">
        <v>1996</v>
      </c>
      <c r="B63" t="s">
        <v>66</v>
      </c>
      <c r="C63" t="s">
        <v>103</v>
      </c>
      <c r="D63" t="s">
        <v>101</v>
      </c>
      <c r="E63" t="s">
        <v>102</v>
      </c>
      <c r="F63">
        <v>1240</v>
      </c>
      <c r="G63">
        <v>1415</v>
      </c>
      <c r="H63">
        <f t="shared" si="0"/>
        <v>1327.5</v>
      </c>
    </row>
    <row r="64" spans="1:9" x14ac:dyDescent="0.2">
      <c r="A64">
        <v>1997</v>
      </c>
      <c r="B64" t="s">
        <v>66</v>
      </c>
      <c r="C64">
        <v>406</v>
      </c>
      <c r="D64" t="s">
        <v>101</v>
      </c>
      <c r="E64" t="s">
        <v>102</v>
      </c>
      <c r="F64">
        <v>1240</v>
      </c>
      <c r="G64">
        <v>1415</v>
      </c>
      <c r="H64">
        <f t="shared" si="0"/>
        <v>1327.5</v>
      </c>
    </row>
    <row r="65" spans="1:8" x14ac:dyDescent="0.2">
      <c r="A65">
        <v>1998</v>
      </c>
      <c r="B65" t="s">
        <v>66</v>
      </c>
      <c r="C65">
        <v>406</v>
      </c>
      <c r="D65" t="s">
        <v>101</v>
      </c>
      <c r="E65" t="s">
        <v>102</v>
      </c>
      <c r="F65">
        <v>1240</v>
      </c>
      <c r="G65">
        <v>1415</v>
      </c>
      <c r="H65">
        <f t="shared" si="0"/>
        <v>1327.5</v>
      </c>
    </row>
    <row r="66" spans="1:8" x14ac:dyDescent="0.2">
      <c r="A66">
        <v>1999</v>
      </c>
      <c r="B66" t="s">
        <v>66</v>
      </c>
      <c r="C66">
        <v>406</v>
      </c>
      <c r="D66" t="s">
        <v>101</v>
      </c>
      <c r="E66" t="s">
        <v>102</v>
      </c>
      <c r="F66">
        <v>1240</v>
      </c>
      <c r="G66">
        <v>1415</v>
      </c>
      <c r="H66">
        <f t="shared" si="0"/>
        <v>1327.5</v>
      </c>
    </row>
    <row r="67" spans="1:8" x14ac:dyDescent="0.2">
      <c r="A67">
        <v>2000</v>
      </c>
      <c r="B67" t="s">
        <v>66</v>
      </c>
      <c r="C67">
        <v>406</v>
      </c>
      <c r="D67" t="s">
        <v>101</v>
      </c>
      <c r="E67" t="s">
        <v>102</v>
      </c>
      <c r="F67">
        <v>1240</v>
      </c>
      <c r="G67">
        <v>1415</v>
      </c>
      <c r="H67">
        <f t="shared" ref="H67:H128" si="4">AVERAGE(F67:G67)</f>
        <v>1327.5</v>
      </c>
    </row>
    <row r="68" spans="1:8" x14ac:dyDescent="0.2">
      <c r="A68">
        <v>2001</v>
      </c>
      <c r="B68" t="s">
        <v>66</v>
      </c>
      <c r="C68">
        <v>406</v>
      </c>
      <c r="D68" t="s">
        <v>101</v>
      </c>
      <c r="E68" t="s">
        <v>102</v>
      </c>
      <c r="F68">
        <v>1240</v>
      </c>
      <c r="G68">
        <v>1415</v>
      </c>
      <c r="H68">
        <f t="shared" si="4"/>
        <v>1327.5</v>
      </c>
    </row>
    <row r="69" spans="1:8" x14ac:dyDescent="0.2">
      <c r="A69">
        <v>2002</v>
      </c>
      <c r="B69" t="s">
        <v>66</v>
      </c>
      <c r="C69">
        <v>406</v>
      </c>
      <c r="D69" t="s">
        <v>101</v>
      </c>
      <c r="E69" t="s">
        <v>102</v>
      </c>
      <c r="F69">
        <v>1240</v>
      </c>
      <c r="G69">
        <v>1415</v>
      </c>
      <c r="H69">
        <f t="shared" si="4"/>
        <v>1327.5</v>
      </c>
    </row>
    <row r="70" spans="1:8" x14ac:dyDescent="0.2">
      <c r="A70">
        <v>2003</v>
      </c>
      <c r="B70" t="s">
        <v>66</v>
      </c>
      <c r="C70">
        <v>406</v>
      </c>
      <c r="D70" t="s">
        <v>101</v>
      </c>
      <c r="E70" t="s">
        <v>102</v>
      </c>
      <c r="F70">
        <v>1240</v>
      </c>
      <c r="G70">
        <v>1415</v>
      </c>
      <c r="H70">
        <f t="shared" si="4"/>
        <v>1327.5</v>
      </c>
    </row>
    <row r="71" spans="1:8" x14ac:dyDescent="0.2">
      <c r="A71">
        <v>2004</v>
      </c>
      <c r="B71" t="s">
        <v>66</v>
      </c>
      <c r="C71" t="s">
        <v>100</v>
      </c>
      <c r="D71" t="s">
        <v>98</v>
      </c>
      <c r="E71" t="s">
        <v>99</v>
      </c>
      <c r="F71">
        <v>1475</v>
      </c>
      <c r="G71">
        <v>1835</v>
      </c>
      <c r="H71">
        <f t="shared" si="4"/>
        <v>1655</v>
      </c>
    </row>
    <row r="72" spans="1:8" x14ac:dyDescent="0.2">
      <c r="A72">
        <v>2005</v>
      </c>
      <c r="B72" t="s">
        <v>66</v>
      </c>
      <c r="C72" t="s">
        <v>100</v>
      </c>
      <c r="D72" t="s">
        <v>98</v>
      </c>
      <c r="E72" t="s">
        <v>99</v>
      </c>
      <c r="F72">
        <v>1475</v>
      </c>
      <c r="G72">
        <v>1835</v>
      </c>
      <c r="H72">
        <f t="shared" si="4"/>
        <v>1655</v>
      </c>
    </row>
    <row r="73" spans="1:8" x14ac:dyDescent="0.2">
      <c r="A73">
        <v>2006</v>
      </c>
      <c r="B73" t="s">
        <v>66</v>
      </c>
      <c r="C73">
        <v>407</v>
      </c>
      <c r="D73" t="s">
        <v>98</v>
      </c>
      <c r="E73" t="s">
        <v>99</v>
      </c>
      <c r="F73">
        <v>1475</v>
      </c>
      <c r="G73">
        <v>1835</v>
      </c>
      <c r="H73">
        <f t="shared" si="4"/>
        <v>1655</v>
      </c>
    </row>
    <row r="74" spans="1:8" x14ac:dyDescent="0.2">
      <c r="A74">
        <v>2007</v>
      </c>
      <c r="B74" t="s">
        <v>66</v>
      </c>
      <c r="C74">
        <v>407</v>
      </c>
      <c r="D74" t="s">
        <v>98</v>
      </c>
      <c r="E74" t="s">
        <v>99</v>
      </c>
      <c r="F74">
        <v>1475</v>
      </c>
      <c r="G74">
        <v>1835</v>
      </c>
      <c r="H74">
        <f t="shared" si="4"/>
        <v>1655</v>
      </c>
    </row>
    <row r="75" spans="1:8" x14ac:dyDescent="0.2">
      <c r="A75">
        <v>2008</v>
      </c>
      <c r="B75" t="s">
        <v>66</v>
      </c>
      <c r="C75">
        <v>407</v>
      </c>
      <c r="D75" t="s">
        <v>98</v>
      </c>
      <c r="E75" t="s">
        <v>99</v>
      </c>
      <c r="F75">
        <v>1475</v>
      </c>
      <c r="G75">
        <v>1835</v>
      </c>
      <c r="H75">
        <f t="shared" si="4"/>
        <v>1655</v>
      </c>
    </row>
    <row r="76" spans="1:8" x14ac:dyDescent="0.2">
      <c r="A76">
        <v>2009</v>
      </c>
      <c r="B76" t="s">
        <v>66</v>
      </c>
      <c r="C76">
        <v>407</v>
      </c>
      <c r="D76" t="s">
        <v>98</v>
      </c>
      <c r="E76" t="s">
        <v>99</v>
      </c>
      <c r="F76">
        <v>1475</v>
      </c>
      <c r="G76">
        <v>1835</v>
      </c>
      <c r="H76">
        <f t="shared" si="4"/>
        <v>1655</v>
      </c>
    </row>
    <row r="77" spans="1:8" x14ac:dyDescent="0.2">
      <c r="A77">
        <v>2010</v>
      </c>
      <c r="B77" t="s">
        <v>66</v>
      </c>
      <c r="C77">
        <v>407</v>
      </c>
      <c r="D77" t="s">
        <v>110</v>
      </c>
      <c r="E77" t="s">
        <v>112</v>
      </c>
      <c r="F77">
        <v>1475</v>
      </c>
      <c r="G77">
        <v>1835</v>
      </c>
      <c r="H77">
        <f t="shared" si="4"/>
        <v>1655</v>
      </c>
    </row>
    <row r="78" spans="1:8" x14ac:dyDescent="0.2">
      <c r="A78">
        <v>2011</v>
      </c>
      <c r="B78" t="s">
        <v>66</v>
      </c>
      <c r="C78">
        <v>407</v>
      </c>
      <c r="D78" t="s">
        <v>111</v>
      </c>
      <c r="E78" t="s">
        <v>113</v>
      </c>
      <c r="F78">
        <v>1475</v>
      </c>
      <c r="G78">
        <v>1835</v>
      </c>
      <c r="H78">
        <f t="shared" si="4"/>
        <v>1655</v>
      </c>
    </row>
    <row r="79" spans="1:8" x14ac:dyDescent="0.2">
      <c r="A79">
        <v>1975</v>
      </c>
      <c r="B79" t="s">
        <v>145</v>
      </c>
      <c r="C79" t="s">
        <v>146</v>
      </c>
      <c r="D79" t="s">
        <v>147</v>
      </c>
      <c r="E79">
        <v>1610</v>
      </c>
      <c r="F79">
        <v>1020</v>
      </c>
      <c r="G79">
        <v>1180</v>
      </c>
      <c r="H79">
        <f t="shared" si="4"/>
        <v>1100</v>
      </c>
    </row>
    <row r="80" spans="1:8" x14ac:dyDescent="0.2">
      <c r="A80">
        <v>1976</v>
      </c>
      <c r="B80" t="s">
        <v>145</v>
      </c>
      <c r="C80" t="s">
        <v>146</v>
      </c>
      <c r="D80" t="s">
        <v>147</v>
      </c>
      <c r="E80">
        <v>1610</v>
      </c>
      <c r="F80">
        <v>1020</v>
      </c>
      <c r="G80">
        <v>1180</v>
      </c>
      <c r="H80">
        <f t="shared" si="4"/>
        <v>1100</v>
      </c>
    </row>
    <row r="81" spans="1:8" x14ac:dyDescent="0.2">
      <c r="A81">
        <v>1977</v>
      </c>
      <c r="B81" t="s">
        <v>145</v>
      </c>
      <c r="C81" t="s">
        <v>146</v>
      </c>
      <c r="D81" t="s">
        <v>147</v>
      </c>
      <c r="E81">
        <v>1610</v>
      </c>
      <c r="F81">
        <v>1020</v>
      </c>
      <c r="G81">
        <v>1180</v>
      </c>
      <c r="H81">
        <f t="shared" si="4"/>
        <v>1100</v>
      </c>
    </row>
    <row r="82" spans="1:8" x14ac:dyDescent="0.2">
      <c r="A82">
        <v>1978</v>
      </c>
      <c r="B82" t="s">
        <v>145</v>
      </c>
      <c r="C82" t="s">
        <v>146</v>
      </c>
      <c r="D82" t="s">
        <v>147</v>
      </c>
      <c r="E82">
        <v>1610</v>
      </c>
      <c r="F82">
        <v>1020</v>
      </c>
      <c r="G82">
        <v>1180</v>
      </c>
      <c r="H82">
        <f t="shared" si="4"/>
        <v>1100</v>
      </c>
    </row>
    <row r="83" spans="1:8" x14ac:dyDescent="0.2">
      <c r="A83">
        <v>1979</v>
      </c>
      <c r="B83" t="s">
        <v>145</v>
      </c>
      <c r="C83" t="s">
        <v>146</v>
      </c>
      <c r="D83" t="s">
        <v>147</v>
      </c>
      <c r="E83">
        <v>1610</v>
      </c>
      <c r="F83">
        <v>1020</v>
      </c>
      <c r="G83">
        <v>1180</v>
      </c>
      <c r="H83">
        <f t="shared" si="4"/>
        <v>1100</v>
      </c>
    </row>
    <row r="84" spans="1:8" x14ac:dyDescent="0.2">
      <c r="A84">
        <v>1980</v>
      </c>
      <c r="B84" t="s">
        <v>145</v>
      </c>
      <c r="C84" t="s">
        <v>146</v>
      </c>
      <c r="D84" t="s">
        <v>147</v>
      </c>
      <c r="E84">
        <v>1610</v>
      </c>
      <c r="F84">
        <v>1020</v>
      </c>
      <c r="G84">
        <v>1180</v>
      </c>
      <c r="H84">
        <f t="shared" si="4"/>
        <v>1100</v>
      </c>
    </row>
    <row r="85" spans="1:8" x14ac:dyDescent="0.2">
      <c r="A85">
        <v>1981</v>
      </c>
      <c r="B85" t="s">
        <v>145</v>
      </c>
      <c r="C85" t="s">
        <v>146</v>
      </c>
      <c r="D85" t="s">
        <v>147</v>
      </c>
      <c r="E85">
        <v>1610</v>
      </c>
      <c r="F85">
        <v>1020</v>
      </c>
      <c r="G85">
        <v>1180</v>
      </c>
      <c r="H85">
        <f t="shared" si="4"/>
        <v>1100</v>
      </c>
    </row>
    <row r="86" spans="1:8" x14ac:dyDescent="0.2">
      <c r="A86">
        <v>1982</v>
      </c>
      <c r="B86" t="s">
        <v>145</v>
      </c>
      <c r="C86" t="s">
        <v>146</v>
      </c>
      <c r="D86" t="s">
        <v>147</v>
      </c>
      <c r="E86">
        <v>1610</v>
      </c>
      <c r="F86">
        <v>1020</v>
      </c>
      <c r="G86">
        <v>1180</v>
      </c>
      <c r="H86">
        <f t="shared" si="4"/>
        <v>1100</v>
      </c>
    </row>
    <row r="87" spans="1:8" x14ac:dyDescent="0.2">
      <c r="A87">
        <v>1983</v>
      </c>
      <c r="B87" t="s">
        <v>145</v>
      </c>
      <c r="C87" t="s">
        <v>149</v>
      </c>
      <c r="D87" t="s">
        <v>147</v>
      </c>
      <c r="E87">
        <v>1610</v>
      </c>
      <c r="F87">
        <v>1020</v>
      </c>
      <c r="G87">
        <v>1180</v>
      </c>
      <c r="H87">
        <f t="shared" si="4"/>
        <v>1100</v>
      </c>
    </row>
    <row r="88" spans="1:8" x14ac:dyDescent="0.2">
      <c r="A88">
        <v>1984</v>
      </c>
      <c r="B88" t="s">
        <v>145</v>
      </c>
      <c r="C88" t="s">
        <v>148</v>
      </c>
      <c r="D88" t="s">
        <v>150</v>
      </c>
      <c r="E88">
        <v>1645</v>
      </c>
      <c r="F88">
        <v>1080</v>
      </c>
      <c r="G88">
        <v>1200</v>
      </c>
      <c r="H88">
        <f t="shared" si="4"/>
        <v>1140</v>
      </c>
    </row>
    <row r="89" spans="1:8" x14ac:dyDescent="0.2">
      <c r="A89">
        <v>1985</v>
      </c>
      <c r="B89" t="s">
        <v>145</v>
      </c>
      <c r="C89" t="s">
        <v>148</v>
      </c>
      <c r="D89" t="s">
        <v>150</v>
      </c>
      <c r="E89">
        <v>1645</v>
      </c>
      <c r="F89">
        <v>1080</v>
      </c>
      <c r="G89">
        <v>1200</v>
      </c>
      <c r="H89">
        <f t="shared" si="4"/>
        <v>1140</v>
      </c>
    </row>
    <row r="90" spans="1:8" x14ac:dyDescent="0.2">
      <c r="A90">
        <v>1986</v>
      </c>
      <c r="B90" t="s">
        <v>145</v>
      </c>
      <c r="C90" t="s">
        <v>148</v>
      </c>
      <c r="D90" t="s">
        <v>150</v>
      </c>
      <c r="E90">
        <v>1645</v>
      </c>
      <c r="F90">
        <v>1080</v>
      </c>
      <c r="G90">
        <v>1200</v>
      </c>
      <c r="H90">
        <f t="shared" si="4"/>
        <v>1140</v>
      </c>
    </row>
    <row r="91" spans="1:8" x14ac:dyDescent="0.2">
      <c r="A91">
        <v>1987</v>
      </c>
      <c r="B91" t="s">
        <v>145</v>
      </c>
      <c r="C91" t="s">
        <v>148</v>
      </c>
      <c r="D91" t="s">
        <v>150</v>
      </c>
      <c r="E91">
        <v>1645</v>
      </c>
      <c r="F91">
        <v>1080</v>
      </c>
      <c r="G91">
        <v>1200</v>
      </c>
      <c r="H91">
        <f t="shared" si="4"/>
        <v>1140</v>
      </c>
    </row>
    <row r="92" spans="1:8" x14ac:dyDescent="0.2">
      <c r="A92">
        <v>1988</v>
      </c>
      <c r="B92" t="s">
        <v>145</v>
      </c>
      <c r="C92" t="s">
        <v>148</v>
      </c>
      <c r="D92" t="s">
        <v>150</v>
      </c>
      <c r="E92">
        <v>1645</v>
      </c>
      <c r="F92">
        <v>1080</v>
      </c>
      <c r="G92">
        <v>1200</v>
      </c>
      <c r="H92">
        <f t="shared" si="4"/>
        <v>1140</v>
      </c>
    </row>
    <row r="93" spans="1:8" x14ac:dyDescent="0.2">
      <c r="A93">
        <v>1989</v>
      </c>
      <c r="B93" t="s">
        <v>145</v>
      </c>
      <c r="C93" t="s">
        <v>148</v>
      </c>
      <c r="D93" t="s">
        <v>150</v>
      </c>
      <c r="E93">
        <v>1645</v>
      </c>
      <c r="F93">
        <v>1080</v>
      </c>
      <c r="G93">
        <v>1200</v>
      </c>
      <c r="H93">
        <f t="shared" si="4"/>
        <v>1140</v>
      </c>
    </row>
    <row r="94" spans="1:8" x14ac:dyDescent="0.2">
      <c r="A94">
        <v>1990</v>
      </c>
      <c r="B94" t="s">
        <v>145</v>
      </c>
      <c r="C94" t="s">
        <v>148</v>
      </c>
      <c r="D94" t="s">
        <v>150</v>
      </c>
      <c r="E94">
        <v>1645</v>
      </c>
      <c r="F94">
        <v>1080</v>
      </c>
      <c r="G94">
        <v>1200</v>
      </c>
      <c r="H94">
        <f t="shared" si="4"/>
        <v>1140</v>
      </c>
    </row>
    <row r="95" spans="1:8" x14ac:dyDescent="0.2">
      <c r="A95">
        <v>1991</v>
      </c>
      <c r="B95" t="s">
        <v>145</v>
      </c>
      <c r="C95" t="s">
        <v>148</v>
      </c>
      <c r="D95" t="s">
        <v>150</v>
      </c>
      <c r="E95">
        <v>1645</v>
      </c>
      <c r="F95">
        <v>1080</v>
      </c>
      <c r="G95">
        <v>1200</v>
      </c>
      <c r="H95">
        <f t="shared" si="4"/>
        <v>1140</v>
      </c>
    </row>
    <row r="96" spans="1:8" x14ac:dyDescent="0.2">
      <c r="A96">
        <v>1992</v>
      </c>
      <c r="B96" t="s">
        <v>145</v>
      </c>
      <c r="C96" t="s">
        <v>152</v>
      </c>
      <c r="D96">
        <v>4433</v>
      </c>
      <c r="E96">
        <v>1710</v>
      </c>
      <c r="F96">
        <v>1315</v>
      </c>
      <c r="G96">
        <v>1395</v>
      </c>
      <c r="H96">
        <f t="shared" si="4"/>
        <v>1355</v>
      </c>
    </row>
    <row r="97" spans="1:8" x14ac:dyDescent="0.2">
      <c r="A97">
        <v>1993</v>
      </c>
      <c r="B97" t="s">
        <v>145</v>
      </c>
      <c r="C97" t="s">
        <v>152</v>
      </c>
      <c r="D97">
        <v>4433</v>
      </c>
      <c r="E97">
        <v>1710</v>
      </c>
      <c r="F97">
        <v>1315</v>
      </c>
      <c r="G97">
        <v>1395</v>
      </c>
      <c r="H97">
        <f t="shared" si="4"/>
        <v>1355</v>
      </c>
    </row>
    <row r="98" spans="1:8" x14ac:dyDescent="0.2">
      <c r="A98">
        <v>1994</v>
      </c>
      <c r="B98" t="s">
        <v>145</v>
      </c>
      <c r="C98" t="s">
        <v>152</v>
      </c>
      <c r="D98">
        <v>4433</v>
      </c>
      <c r="E98">
        <v>1710</v>
      </c>
      <c r="F98">
        <v>1315</v>
      </c>
      <c r="G98">
        <v>1395</v>
      </c>
      <c r="H98">
        <f t="shared" si="4"/>
        <v>1355</v>
      </c>
    </row>
    <row r="99" spans="1:8" x14ac:dyDescent="0.2">
      <c r="A99">
        <v>1995</v>
      </c>
      <c r="B99" t="s">
        <v>145</v>
      </c>
      <c r="C99" t="s">
        <v>151</v>
      </c>
      <c r="D99">
        <v>4433</v>
      </c>
      <c r="E99">
        <v>1710</v>
      </c>
      <c r="F99">
        <v>1315</v>
      </c>
      <c r="G99">
        <v>1395</v>
      </c>
      <c r="H99">
        <f t="shared" si="4"/>
        <v>1355</v>
      </c>
    </row>
    <row r="100" spans="1:8" x14ac:dyDescent="0.2">
      <c r="A100">
        <v>1996</v>
      </c>
      <c r="B100" t="s">
        <v>145</v>
      </c>
      <c r="C100" t="s">
        <v>151</v>
      </c>
      <c r="D100">
        <v>4433</v>
      </c>
      <c r="E100">
        <v>1710</v>
      </c>
      <c r="F100">
        <v>1315</v>
      </c>
      <c r="G100">
        <v>1395</v>
      </c>
      <c r="H100">
        <f t="shared" si="4"/>
        <v>1355</v>
      </c>
    </row>
    <row r="101" spans="1:8" x14ac:dyDescent="0.2">
      <c r="A101">
        <v>1997</v>
      </c>
      <c r="B101" t="s">
        <v>145</v>
      </c>
      <c r="C101" t="s">
        <v>151</v>
      </c>
      <c r="D101">
        <v>4433</v>
      </c>
      <c r="E101">
        <v>1710</v>
      </c>
      <c r="F101">
        <v>1315</v>
      </c>
      <c r="G101">
        <v>1395</v>
      </c>
      <c r="H101">
        <f t="shared" si="4"/>
        <v>1355</v>
      </c>
    </row>
    <row r="102" spans="1:8" x14ac:dyDescent="0.2">
      <c r="A102">
        <v>1998</v>
      </c>
      <c r="B102" t="s">
        <v>145</v>
      </c>
      <c r="C102" t="s">
        <v>154</v>
      </c>
      <c r="D102" t="s">
        <v>155</v>
      </c>
      <c r="E102" t="s">
        <v>156</v>
      </c>
      <c r="F102">
        <v>1285</v>
      </c>
      <c r="G102">
        <v>1785</v>
      </c>
      <c r="H102">
        <f t="shared" si="4"/>
        <v>1535</v>
      </c>
    </row>
    <row r="103" spans="1:8" x14ac:dyDescent="0.2">
      <c r="A103">
        <v>1999</v>
      </c>
      <c r="B103" t="s">
        <v>145</v>
      </c>
      <c r="C103" t="s">
        <v>154</v>
      </c>
      <c r="D103" t="s">
        <v>155</v>
      </c>
      <c r="E103" t="s">
        <v>156</v>
      </c>
      <c r="F103">
        <v>1285</v>
      </c>
      <c r="G103">
        <v>1785</v>
      </c>
      <c r="H103">
        <f t="shared" si="4"/>
        <v>1535</v>
      </c>
    </row>
    <row r="104" spans="1:8" x14ac:dyDescent="0.2">
      <c r="A104">
        <v>2000</v>
      </c>
      <c r="B104" t="s">
        <v>145</v>
      </c>
      <c r="C104" t="s">
        <v>154</v>
      </c>
      <c r="D104" t="s">
        <v>155</v>
      </c>
      <c r="E104" t="s">
        <v>156</v>
      </c>
      <c r="F104">
        <v>1285</v>
      </c>
      <c r="G104">
        <v>1785</v>
      </c>
      <c r="H104">
        <f t="shared" si="4"/>
        <v>1535</v>
      </c>
    </row>
    <row r="105" spans="1:8" x14ac:dyDescent="0.2">
      <c r="A105">
        <v>2001</v>
      </c>
      <c r="B105" t="s">
        <v>145</v>
      </c>
      <c r="C105" t="s">
        <v>153</v>
      </c>
      <c r="D105" t="s">
        <v>155</v>
      </c>
      <c r="E105" t="s">
        <v>156</v>
      </c>
      <c r="F105">
        <v>1285</v>
      </c>
      <c r="G105">
        <v>1785</v>
      </c>
      <c r="H105">
        <f t="shared" si="4"/>
        <v>1535</v>
      </c>
    </row>
    <row r="106" spans="1:8" x14ac:dyDescent="0.2">
      <c r="A106">
        <v>2002</v>
      </c>
      <c r="B106" t="s">
        <v>145</v>
      </c>
      <c r="C106" t="s">
        <v>153</v>
      </c>
      <c r="D106" t="s">
        <v>155</v>
      </c>
      <c r="E106" t="s">
        <v>156</v>
      </c>
      <c r="F106">
        <v>1285</v>
      </c>
      <c r="G106">
        <v>1785</v>
      </c>
      <c r="H106">
        <f t="shared" si="4"/>
        <v>1535</v>
      </c>
    </row>
    <row r="107" spans="1:8" x14ac:dyDescent="0.2">
      <c r="A107">
        <v>2003</v>
      </c>
      <c r="B107" t="s">
        <v>145</v>
      </c>
      <c r="C107" t="s">
        <v>153</v>
      </c>
      <c r="D107" t="s">
        <v>155</v>
      </c>
      <c r="E107" t="s">
        <v>156</v>
      </c>
      <c r="F107">
        <v>1285</v>
      </c>
      <c r="G107">
        <v>1785</v>
      </c>
      <c r="H107">
        <f t="shared" si="4"/>
        <v>1535</v>
      </c>
    </row>
    <row r="108" spans="1:8" x14ac:dyDescent="0.2">
      <c r="A108">
        <v>2004</v>
      </c>
      <c r="B108" t="s">
        <v>145</v>
      </c>
      <c r="C108" t="s">
        <v>153</v>
      </c>
      <c r="D108" t="s">
        <v>155</v>
      </c>
      <c r="E108" t="s">
        <v>156</v>
      </c>
      <c r="F108">
        <v>1285</v>
      </c>
      <c r="G108">
        <v>1785</v>
      </c>
      <c r="H108">
        <f t="shared" si="4"/>
        <v>1535</v>
      </c>
    </row>
    <row r="109" spans="1:8" x14ac:dyDescent="0.2">
      <c r="A109">
        <v>2005</v>
      </c>
      <c r="B109" t="s">
        <v>145</v>
      </c>
      <c r="C109" t="s">
        <v>223</v>
      </c>
      <c r="D109" t="s">
        <v>158</v>
      </c>
      <c r="E109" t="s">
        <v>159</v>
      </c>
      <c r="F109">
        <v>1425</v>
      </c>
      <c r="G109">
        <v>1825</v>
      </c>
      <c r="H109">
        <f t="shared" si="4"/>
        <v>1625</v>
      </c>
    </row>
    <row r="110" spans="1:8" x14ac:dyDescent="0.2">
      <c r="A110">
        <v>2006</v>
      </c>
      <c r="B110" t="s">
        <v>145</v>
      </c>
      <c r="C110" t="s">
        <v>223</v>
      </c>
      <c r="D110" t="s">
        <v>158</v>
      </c>
      <c r="E110" t="s">
        <v>159</v>
      </c>
      <c r="F110">
        <v>1425</v>
      </c>
      <c r="G110">
        <v>1825</v>
      </c>
      <c r="H110">
        <f t="shared" si="4"/>
        <v>1625</v>
      </c>
    </row>
    <row r="111" spans="1:8" x14ac:dyDescent="0.2">
      <c r="A111">
        <v>2007</v>
      </c>
      <c r="B111" t="s">
        <v>145</v>
      </c>
      <c r="C111" t="s">
        <v>157</v>
      </c>
      <c r="D111" t="s">
        <v>158</v>
      </c>
      <c r="E111" t="s">
        <v>159</v>
      </c>
      <c r="F111">
        <v>1425</v>
      </c>
      <c r="G111">
        <v>1825</v>
      </c>
      <c r="H111">
        <f t="shared" si="4"/>
        <v>1625</v>
      </c>
    </row>
    <row r="112" spans="1:8" x14ac:dyDescent="0.2">
      <c r="A112">
        <v>2008</v>
      </c>
      <c r="B112" t="s">
        <v>145</v>
      </c>
      <c r="C112" t="s">
        <v>157</v>
      </c>
      <c r="D112" t="s">
        <v>158</v>
      </c>
      <c r="E112" t="s">
        <v>159</v>
      </c>
      <c r="F112">
        <v>1425</v>
      </c>
      <c r="G112">
        <v>1825</v>
      </c>
      <c r="H112">
        <f t="shared" si="4"/>
        <v>1625</v>
      </c>
    </row>
    <row r="113" spans="1:8" x14ac:dyDescent="0.2">
      <c r="A113">
        <v>2009</v>
      </c>
      <c r="B113" t="s">
        <v>145</v>
      </c>
      <c r="C113" t="s">
        <v>157</v>
      </c>
      <c r="D113" t="s">
        <v>158</v>
      </c>
      <c r="E113" t="s">
        <v>159</v>
      </c>
      <c r="F113">
        <v>1425</v>
      </c>
      <c r="G113">
        <v>1825</v>
      </c>
      <c r="H113">
        <f t="shared" si="4"/>
        <v>1625</v>
      </c>
    </row>
    <row r="114" spans="1:8" x14ac:dyDescent="0.2">
      <c r="A114">
        <v>2010</v>
      </c>
      <c r="B114" t="s">
        <v>145</v>
      </c>
      <c r="C114" t="s">
        <v>157</v>
      </c>
      <c r="D114" t="s">
        <v>158</v>
      </c>
      <c r="E114" t="s">
        <v>159</v>
      </c>
      <c r="F114">
        <v>1425</v>
      </c>
      <c r="G114">
        <v>1825</v>
      </c>
      <c r="H114">
        <f t="shared" si="4"/>
        <v>1625</v>
      </c>
    </row>
    <row r="115" spans="1:8" x14ac:dyDescent="0.2">
      <c r="A115">
        <v>2011</v>
      </c>
      <c r="B115" t="s">
        <v>145</v>
      </c>
      <c r="C115" t="s">
        <v>161</v>
      </c>
      <c r="D115" t="s">
        <v>162</v>
      </c>
      <c r="E115" t="s">
        <v>163</v>
      </c>
      <c r="F115">
        <v>1385</v>
      </c>
      <c r="G115">
        <v>1780</v>
      </c>
      <c r="H115">
        <f t="shared" si="4"/>
        <v>1582.5</v>
      </c>
    </row>
    <row r="116" spans="1:8" x14ac:dyDescent="0.2">
      <c r="A116">
        <v>2012</v>
      </c>
      <c r="B116" t="s">
        <v>145</v>
      </c>
      <c r="C116" t="s">
        <v>161</v>
      </c>
      <c r="D116" t="s">
        <v>162</v>
      </c>
      <c r="E116" t="s">
        <v>163</v>
      </c>
      <c r="F116">
        <v>1385</v>
      </c>
      <c r="G116">
        <v>1780</v>
      </c>
      <c r="H116">
        <f t="shared" si="4"/>
        <v>1582.5</v>
      </c>
    </row>
    <row r="117" spans="1:8" x14ac:dyDescent="0.2">
      <c r="A117">
        <v>2013</v>
      </c>
      <c r="B117" t="s">
        <v>145</v>
      </c>
      <c r="C117" t="s">
        <v>161</v>
      </c>
      <c r="D117" t="s">
        <v>162</v>
      </c>
      <c r="E117" t="s">
        <v>163</v>
      </c>
      <c r="F117">
        <v>1385</v>
      </c>
      <c r="G117">
        <v>1780</v>
      </c>
      <c r="H117">
        <f t="shared" si="4"/>
        <v>1582.5</v>
      </c>
    </row>
    <row r="118" spans="1:8" x14ac:dyDescent="0.2">
      <c r="A118">
        <v>2014</v>
      </c>
      <c r="B118" t="s">
        <v>145</v>
      </c>
      <c r="C118" t="s">
        <v>160</v>
      </c>
      <c r="D118" t="s">
        <v>162</v>
      </c>
      <c r="E118" t="s">
        <v>163</v>
      </c>
      <c r="F118">
        <v>1385</v>
      </c>
      <c r="G118">
        <v>1780</v>
      </c>
      <c r="H118">
        <f t="shared" si="4"/>
        <v>1582.5</v>
      </c>
    </row>
    <row r="119" spans="1:8" x14ac:dyDescent="0.2">
      <c r="A119">
        <v>2015</v>
      </c>
      <c r="B119" t="s">
        <v>145</v>
      </c>
      <c r="C119" t="s">
        <v>160</v>
      </c>
      <c r="D119" t="s">
        <v>162</v>
      </c>
      <c r="E119" t="s">
        <v>163</v>
      </c>
      <c r="F119">
        <v>1385</v>
      </c>
      <c r="G119">
        <v>1780</v>
      </c>
      <c r="H119">
        <f t="shared" si="4"/>
        <v>1582.5</v>
      </c>
    </row>
    <row r="120" spans="1:8" x14ac:dyDescent="0.2">
      <c r="A120">
        <v>2016</v>
      </c>
      <c r="B120" t="s">
        <v>145</v>
      </c>
      <c r="C120" t="s">
        <v>160</v>
      </c>
      <c r="D120" t="s">
        <v>162</v>
      </c>
      <c r="E120" t="s">
        <v>163</v>
      </c>
      <c r="F120">
        <v>1385</v>
      </c>
      <c r="G120">
        <v>1780</v>
      </c>
      <c r="H120">
        <f t="shared" si="4"/>
        <v>1582.5</v>
      </c>
    </row>
    <row r="121" spans="1:8" x14ac:dyDescent="0.2">
      <c r="A121">
        <v>2017</v>
      </c>
      <c r="B121" t="s">
        <v>145</v>
      </c>
      <c r="C121" t="s">
        <v>160</v>
      </c>
      <c r="D121" t="s">
        <v>162</v>
      </c>
      <c r="E121" t="s">
        <v>163</v>
      </c>
      <c r="F121">
        <v>1385</v>
      </c>
      <c r="G121">
        <v>1780</v>
      </c>
      <c r="H121">
        <f t="shared" si="4"/>
        <v>1582.5</v>
      </c>
    </row>
    <row r="122" spans="1:8" x14ac:dyDescent="0.2">
      <c r="A122">
        <v>2018</v>
      </c>
      <c r="B122" t="s">
        <v>145</v>
      </c>
      <c r="C122" t="s">
        <v>160</v>
      </c>
      <c r="D122" t="s">
        <v>162</v>
      </c>
      <c r="E122" t="s">
        <v>163</v>
      </c>
      <c r="F122">
        <v>1385</v>
      </c>
      <c r="G122">
        <v>1780</v>
      </c>
      <c r="H122">
        <f t="shared" si="4"/>
        <v>1582.5</v>
      </c>
    </row>
    <row r="123" spans="1:8" x14ac:dyDescent="0.2">
      <c r="A123">
        <v>2019</v>
      </c>
      <c r="B123" t="s">
        <v>145</v>
      </c>
      <c r="C123" t="s">
        <v>165</v>
      </c>
      <c r="D123" t="s">
        <v>166</v>
      </c>
      <c r="E123">
        <v>1827</v>
      </c>
      <c r="F123">
        <v>1450</v>
      </c>
      <c r="G123">
        <v>1965</v>
      </c>
      <c r="H123">
        <f t="shared" si="4"/>
        <v>1707.5</v>
      </c>
    </row>
    <row r="124" spans="1:8" x14ac:dyDescent="0.2">
      <c r="A124">
        <v>2020</v>
      </c>
      <c r="B124" t="s">
        <v>145</v>
      </c>
      <c r="C124" t="s">
        <v>164</v>
      </c>
      <c r="D124" t="s">
        <v>166</v>
      </c>
      <c r="E124">
        <v>1827</v>
      </c>
      <c r="F124">
        <v>1450</v>
      </c>
      <c r="G124">
        <v>1965</v>
      </c>
      <c r="H124">
        <f t="shared" si="4"/>
        <v>1707.5</v>
      </c>
    </row>
    <row r="125" spans="1:8" x14ac:dyDescent="0.2">
      <c r="A125">
        <v>2021</v>
      </c>
      <c r="B125" t="s">
        <v>145</v>
      </c>
      <c r="C125" t="s">
        <v>164</v>
      </c>
      <c r="D125" t="s">
        <v>166</v>
      </c>
      <c r="E125">
        <v>1827</v>
      </c>
      <c r="F125">
        <v>1450</v>
      </c>
      <c r="G125">
        <v>1965</v>
      </c>
      <c r="H125">
        <f t="shared" si="4"/>
        <v>1707.5</v>
      </c>
    </row>
    <row r="126" spans="1:8" x14ac:dyDescent="0.2">
      <c r="A126">
        <v>2022</v>
      </c>
      <c r="B126" t="s">
        <v>145</v>
      </c>
      <c r="C126" t="s">
        <v>164</v>
      </c>
      <c r="D126" t="s">
        <v>166</v>
      </c>
      <c r="E126">
        <v>1827</v>
      </c>
      <c r="F126">
        <v>1450</v>
      </c>
      <c r="G126">
        <v>1965</v>
      </c>
      <c r="H126">
        <f t="shared" si="4"/>
        <v>1707.5</v>
      </c>
    </row>
    <row r="127" spans="1:8" x14ac:dyDescent="0.2">
      <c r="A127">
        <v>2023</v>
      </c>
      <c r="B127" t="s">
        <v>145</v>
      </c>
      <c r="C127" t="s">
        <v>164</v>
      </c>
      <c r="D127" t="s">
        <v>166</v>
      </c>
      <c r="E127">
        <v>1827</v>
      </c>
      <c r="F127">
        <v>1450</v>
      </c>
      <c r="G127">
        <v>1965</v>
      </c>
      <c r="H127">
        <f t="shared" si="4"/>
        <v>1707.5</v>
      </c>
    </row>
    <row r="128" spans="1:8" x14ac:dyDescent="0.2">
      <c r="A128">
        <v>2024</v>
      </c>
      <c r="B128" t="s">
        <v>145</v>
      </c>
      <c r="C128" t="s">
        <v>164</v>
      </c>
      <c r="D128" t="s">
        <v>166</v>
      </c>
      <c r="E128">
        <v>1827</v>
      </c>
      <c r="F128">
        <v>1450</v>
      </c>
      <c r="G128">
        <v>1965</v>
      </c>
      <c r="H128">
        <f t="shared" si="4"/>
        <v>1707.5</v>
      </c>
    </row>
    <row r="131" spans="13:13" x14ac:dyDescent="0.2">
      <c r="M131" t="s">
        <v>224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575B-BBED-B44F-A0D9-6ABC73A49A7B}">
  <dimension ref="A1:K106"/>
  <sheetViews>
    <sheetView topLeftCell="B75" zoomScale="268" zoomScaleNormal="268" workbookViewId="0">
      <selection activeCell="G98" sqref="G98"/>
    </sheetView>
  </sheetViews>
  <sheetFormatPr baseColWidth="10" defaultColWidth="10.83203125" defaultRowHeight="16" x14ac:dyDescent="0.2"/>
  <sheetData>
    <row r="1" spans="1:9" x14ac:dyDescent="0.2">
      <c r="A1" t="s">
        <v>43</v>
      </c>
      <c r="B1" t="s">
        <v>42</v>
      </c>
      <c r="C1" t="s">
        <v>41</v>
      </c>
      <c r="D1" t="s">
        <v>40</v>
      </c>
      <c r="E1" t="s">
        <v>0</v>
      </c>
      <c r="F1" t="s">
        <v>38</v>
      </c>
      <c r="G1" t="s">
        <v>39</v>
      </c>
      <c r="H1" t="s">
        <v>235</v>
      </c>
      <c r="I1" t="s">
        <v>236</v>
      </c>
    </row>
    <row r="2" spans="1:9" x14ac:dyDescent="0.2">
      <c r="A2">
        <v>1979</v>
      </c>
      <c r="B2" t="s">
        <v>66</v>
      </c>
      <c r="C2">
        <v>505</v>
      </c>
      <c r="D2" t="s">
        <v>96</v>
      </c>
      <c r="E2">
        <v>1750</v>
      </c>
      <c r="F2">
        <v>1200</v>
      </c>
      <c r="G2">
        <v>1400</v>
      </c>
      <c r="H2">
        <f>AVERAGE(F2:G2)</f>
        <v>1300</v>
      </c>
    </row>
    <row r="3" spans="1:9" x14ac:dyDescent="0.2">
      <c r="A3">
        <v>1980</v>
      </c>
      <c r="B3" t="s">
        <v>66</v>
      </c>
      <c r="C3">
        <v>505</v>
      </c>
      <c r="D3" t="s">
        <v>96</v>
      </c>
      <c r="E3">
        <v>1750</v>
      </c>
      <c r="F3">
        <v>1200</v>
      </c>
      <c r="G3">
        <v>1400</v>
      </c>
      <c r="H3">
        <f t="shared" ref="H3:H66" si="0">AVERAGE(F3:G3)</f>
        <v>1300</v>
      </c>
    </row>
    <row r="4" spans="1:9" x14ac:dyDescent="0.2">
      <c r="A4">
        <v>1981</v>
      </c>
      <c r="B4" t="s">
        <v>66</v>
      </c>
      <c r="C4">
        <v>505</v>
      </c>
      <c r="D4" t="s">
        <v>96</v>
      </c>
      <c r="E4">
        <v>1750</v>
      </c>
      <c r="F4">
        <v>1200</v>
      </c>
      <c r="G4">
        <v>1400</v>
      </c>
      <c r="H4">
        <f t="shared" si="0"/>
        <v>1300</v>
      </c>
    </row>
    <row r="5" spans="1:9" x14ac:dyDescent="0.2">
      <c r="A5">
        <v>1982</v>
      </c>
      <c r="B5" t="s">
        <v>66</v>
      </c>
      <c r="C5">
        <v>505</v>
      </c>
      <c r="D5" t="s">
        <v>96</v>
      </c>
      <c r="E5">
        <v>1750</v>
      </c>
      <c r="F5">
        <v>1200</v>
      </c>
      <c r="G5">
        <v>1400</v>
      </c>
      <c r="H5">
        <f t="shared" si="0"/>
        <v>1300</v>
      </c>
    </row>
    <row r="6" spans="1:9" x14ac:dyDescent="0.2">
      <c r="A6">
        <v>1983</v>
      </c>
      <c r="B6" t="s">
        <v>66</v>
      </c>
      <c r="C6">
        <v>505</v>
      </c>
      <c r="D6" t="s">
        <v>96</v>
      </c>
      <c r="E6">
        <v>1750</v>
      </c>
      <c r="F6">
        <v>1200</v>
      </c>
      <c r="G6">
        <v>1400</v>
      </c>
      <c r="H6">
        <f t="shared" si="0"/>
        <v>1300</v>
      </c>
    </row>
    <row r="7" spans="1:9" x14ac:dyDescent="0.2">
      <c r="A7">
        <v>1984</v>
      </c>
      <c r="B7" t="s">
        <v>66</v>
      </c>
      <c r="C7">
        <v>505</v>
      </c>
      <c r="D7" t="s">
        <v>96</v>
      </c>
      <c r="E7">
        <v>1750</v>
      </c>
      <c r="F7">
        <v>1200</v>
      </c>
      <c r="G7">
        <v>1400</v>
      </c>
      <c r="H7">
        <f t="shared" si="0"/>
        <v>1300</v>
      </c>
    </row>
    <row r="8" spans="1:9" x14ac:dyDescent="0.2">
      <c r="A8">
        <v>1985</v>
      </c>
      <c r="B8" t="s">
        <v>66</v>
      </c>
      <c r="C8">
        <v>505</v>
      </c>
      <c r="D8" t="s">
        <v>96</v>
      </c>
      <c r="E8">
        <v>1750</v>
      </c>
      <c r="F8">
        <v>1200</v>
      </c>
      <c r="G8">
        <v>1400</v>
      </c>
      <c r="H8">
        <f t="shared" si="0"/>
        <v>1300</v>
      </c>
    </row>
    <row r="9" spans="1:9" x14ac:dyDescent="0.2">
      <c r="A9">
        <v>1986</v>
      </c>
      <c r="B9" t="s">
        <v>66</v>
      </c>
    </row>
    <row r="10" spans="1:9" x14ac:dyDescent="0.2">
      <c r="A10">
        <v>1987</v>
      </c>
      <c r="B10" t="s">
        <v>66</v>
      </c>
    </row>
    <row r="11" spans="1:9" x14ac:dyDescent="0.2">
      <c r="A11">
        <v>1988</v>
      </c>
      <c r="B11" t="s">
        <v>66</v>
      </c>
    </row>
    <row r="12" spans="1:9" x14ac:dyDescent="0.2">
      <c r="A12">
        <v>1989</v>
      </c>
      <c r="B12" t="s">
        <v>66</v>
      </c>
      <c r="C12">
        <v>605</v>
      </c>
      <c r="D12">
        <v>4720</v>
      </c>
      <c r="E12">
        <v>1800</v>
      </c>
      <c r="F12">
        <v>1325</v>
      </c>
      <c r="G12">
        <v>1460</v>
      </c>
      <c r="H12">
        <f t="shared" si="0"/>
        <v>1392.5</v>
      </c>
    </row>
    <row r="13" spans="1:9" x14ac:dyDescent="0.2">
      <c r="A13">
        <v>1990</v>
      </c>
      <c r="B13" t="s">
        <v>66</v>
      </c>
      <c r="C13">
        <v>605</v>
      </c>
      <c r="D13">
        <v>4720</v>
      </c>
      <c r="E13">
        <v>1800</v>
      </c>
      <c r="F13">
        <v>1325</v>
      </c>
      <c r="G13">
        <v>1460</v>
      </c>
      <c r="H13">
        <f t="shared" si="0"/>
        <v>1392.5</v>
      </c>
    </row>
    <row r="14" spans="1:9" x14ac:dyDescent="0.2">
      <c r="A14">
        <v>1991</v>
      </c>
      <c r="B14" t="s">
        <v>66</v>
      </c>
      <c r="C14">
        <v>605</v>
      </c>
      <c r="D14">
        <v>4720</v>
      </c>
      <c r="E14">
        <v>1800</v>
      </c>
      <c r="F14">
        <v>1325</v>
      </c>
      <c r="G14">
        <v>1460</v>
      </c>
      <c r="H14">
        <f t="shared" si="0"/>
        <v>1392.5</v>
      </c>
    </row>
    <row r="15" spans="1:9" x14ac:dyDescent="0.2">
      <c r="A15">
        <v>1992</v>
      </c>
      <c r="B15" t="s">
        <v>66</v>
      </c>
      <c r="C15">
        <v>605</v>
      </c>
      <c r="D15">
        <v>4720</v>
      </c>
      <c r="E15">
        <v>1800</v>
      </c>
      <c r="F15">
        <v>1325</v>
      </c>
      <c r="G15">
        <v>1460</v>
      </c>
      <c r="H15">
        <f t="shared" si="0"/>
        <v>1392.5</v>
      </c>
    </row>
    <row r="16" spans="1:9" x14ac:dyDescent="0.2">
      <c r="A16">
        <v>1993</v>
      </c>
      <c r="B16" t="s">
        <v>66</v>
      </c>
      <c r="C16">
        <v>605</v>
      </c>
      <c r="D16">
        <v>4720</v>
      </c>
      <c r="E16">
        <v>1800</v>
      </c>
      <c r="F16">
        <v>1325</v>
      </c>
      <c r="G16">
        <v>1460</v>
      </c>
      <c r="H16">
        <f t="shared" si="0"/>
        <v>1392.5</v>
      </c>
    </row>
    <row r="17" spans="1:8" x14ac:dyDescent="0.2">
      <c r="A17">
        <v>1994</v>
      </c>
      <c r="B17" t="s">
        <v>66</v>
      </c>
      <c r="C17">
        <v>605</v>
      </c>
      <c r="D17">
        <v>4720</v>
      </c>
      <c r="E17">
        <v>1800</v>
      </c>
      <c r="F17">
        <v>1325</v>
      </c>
      <c r="G17">
        <v>1460</v>
      </c>
      <c r="H17">
        <f t="shared" si="0"/>
        <v>1392.5</v>
      </c>
    </row>
    <row r="18" spans="1:8" x14ac:dyDescent="0.2">
      <c r="A18">
        <v>1995</v>
      </c>
      <c r="B18" t="s">
        <v>66</v>
      </c>
      <c r="C18">
        <v>605</v>
      </c>
      <c r="D18">
        <v>4720</v>
      </c>
      <c r="E18">
        <v>1800</v>
      </c>
      <c r="F18">
        <v>1325</v>
      </c>
      <c r="G18">
        <v>1460</v>
      </c>
      <c r="H18">
        <f t="shared" si="0"/>
        <v>1392.5</v>
      </c>
    </row>
    <row r="19" spans="1:8" x14ac:dyDescent="0.2">
      <c r="A19">
        <v>1996</v>
      </c>
      <c r="B19" t="s">
        <v>66</v>
      </c>
      <c r="C19">
        <v>605</v>
      </c>
      <c r="D19">
        <v>4720</v>
      </c>
      <c r="E19">
        <v>1800</v>
      </c>
      <c r="F19">
        <v>1325</v>
      </c>
      <c r="G19">
        <v>1460</v>
      </c>
      <c r="H19">
        <f t="shared" si="0"/>
        <v>1392.5</v>
      </c>
    </row>
    <row r="20" spans="1:8" x14ac:dyDescent="0.2">
      <c r="A20">
        <v>1997</v>
      </c>
      <c r="B20" t="s">
        <v>66</v>
      </c>
      <c r="C20">
        <v>605</v>
      </c>
      <c r="D20">
        <v>4720</v>
      </c>
      <c r="E20">
        <v>1800</v>
      </c>
      <c r="F20">
        <v>1325</v>
      </c>
      <c r="G20">
        <v>1460</v>
      </c>
      <c r="H20">
        <f t="shared" si="0"/>
        <v>1392.5</v>
      </c>
    </row>
    <row r="21" spans="1:8" x14ac:dyDescent="0.2">
      <c r="A21">
        <v>1998</v>
      </c>
      <c r="B21" t="s">
        <v>66</v>
      </c>
      <c r="C21">
        <v>605</v>
      </c>
      <c r="D21">
        <v>4720</v>
      </c>
      <c r="E21">
        <v>1800</v>
      </c>
      <c r="F21">
        <v>1325</v>
      </c>
      <c r="G21">
        <v>1460</v>
      </c>
      <c r="H21">
        <f t="shared" si="0"/>
        <v>1392.5</v>
      </c>
    </row>
    <row r="22" spans="1:8" x14ac:dyDescent="0.2">
      <c r="A22">
        <v>1999</v>
      </c>
      <c r="B22" t="s">
        <v>66</v>
      </c>
      <c r="C22">
        <v>605</v>
      </c>
      <c r="D22">
        <v>4720</v>
      </c>
      <c r="E22">
        <v>1800</v>
      </c>
      <c r="F22">
        <v>1325</v>
      </c>
      <c r="G22">
        <v>1460</v>
      </c>
      <c r="H22">
        <f t="shared" si="0"/>
        <v>1392.5</v>
      </c>
    </row>
    <row r="23" spans="1:8" x14ac:dyDescent="0.2">
      <c r="A23">
        <v>2000</v>
      </c>
      <c r="B23" t="s">
        <v>66</v>
      </c>
      <c r="C23">
        <v>607</v>
      </c>
      <c r="D23">
        <v>4902</v>
      </c>
      <c r="E23">
        <v>1835</v>
      </c>
      <c r="F23">
        <v>1610</v>
      </c>
      <c r="G23">
        <v>1798</v>
      </c>
      <c r="H23">
        <f t="shared" si="0"/>
        <v>1704</v>
      </c>
    </row>
    <row r="24" spans="1:8" x14ac:dyDescent="0.2">
      <c r="A24">
        <v>2001</v>
      </c>
      <c r="B24" t="s">
        <v>66</v>
      </c>
      <c r="C24">
        <v>607</v>
      </c>
      <c r="D24">
        <v>4902</v>
      </c>
      <c r="E24">
        <v>1835</v>
      </c>
      <c r="F24">
        <v>1610</v>
      </c>
      <c r="G24">
        <v>1798</v>
      </c>
      <c r="H24">
        <f t="shared" si="0"/>
        <v>1704</v>
      </c>
    </row>
    <row r="25" spans="1:8" x14ac:dyDescent="0.2">
      <c r="A25">
        <v>2002</v>
      </c>
      <c r="B25" t="s">
        <v>66</v>
      </c>
      <c r="C25">
        <v>607</v>
      </c>
      <c r="D25">
        <v>4902</v>
      </c>
      <c r="E25">
        <v>1835</v>
      </c>
      <c r="F25">
        <v>1610</v>
      </c>
      <c r="G25">
        <v>1798</v>
      </c>
      <c r="H25">
        <f t="shared" si="0"/>
        <v>1704</v>
      </c>
    </row>
    <row r="26" spans="1:8" x14ac:dyDescent="0.2">
      <c r="A26">
        <v>2003</v>
      </c>
      <c r="B26" t="s">
        <v>66</v>
      </c>
      <c r="C26">
        <v>607</v>
      </c>
      <c r="D26">
        <v>4902</v>
      </c>
      <c r="E26">
        <v>1835</v>
      </c>
      <c r="F26">
        <v>1610</v>
      </c>
      <c r="G26">
        <v>1798</v>
      </c>
      <c r="H26">
        <f t="shared" si="0"/>
        <v>1704</v>
      </c>
    </row>
    <row r="27" spans="1:8" x14ac:dyDescent="0.2">
      <c r="A27">
        <v>2004</v>
      </c>
      <c r="B27" t="s">
        <v>66</v>
      </c>
      <c r="C27">
        <v>607</v>
      </c>
      <c r="D27">
        <v>4902</v>
      </c>
      <c r="E27">
        <v>1835</v>
      </c>
      <c r="F27">
        <v>1610</v>
      </c>
      <c r="G27">
        <v>1798</v>
      </c>
      <c r="H27">
        <f t="shared" si="0"/>
        <v>1704</v>
      </c>
    </row>
    <row r="28" spans="1:8" x14ac:dyDescent="0.2">
      <c r="A28">
        <v>2005</v>
      </c>
      <c r="B28" t="s">
        <v>66</v>
      </c>
      <c r="C28">
        <v>607</v>
      </c>
      <c r="D28">
        <v>4902</v>
      </c>
      <c r="E28">
        <v>1835</v>
      </c>
      <c r="F28">
        <v>1610</v>
      </c>
      <c r="G28">
        <v>1798</v>
      </c>
      <c r="H28">
        <f t="shared" si="0"/>
        <v>1704</v>
      </c>
    </row>
    <row r="29" spans="1:8" x14ac:dyDescent="0.2">
      <c r="A29">
        <v>2006</v>
      </c>
      <c r="B29" t="s">
        <v>66</v>
      </c>
      <c r="C29">
        <v>607</v>
      </c>
      <c r="D29">
        <v>4902</v>
      </c>
      <c r="E29">
        <v>1835</v>
      </c>
      <c r="F29">
        <v>1610</v>
      </c>
      <c r="G29">
        <v>1798</v>
      </c>
      <c r="H29">
        <f t="shared" si="0"/>
        <v>1704</v>
      </c>
    </row>
    <row r="30" spans="1:8" x14ac:dyDescent="0.2">
      <c r="A30">
        <v>2007</v>
      </c>
      <c r="B30" t="s">
        <v>66</v>
      </c>
      <c r="C30">
        <v>607</v>
      </c>
      <c r="D30">
        <v>4902</v>
      </c>
      <c r="E30">
        <v>1835</v>
      </c>
      <c r="F30">
        <v>1610</v>
      </c>
      <c r="G30">
        <v>1798</v>
      </c>
      <c r="H30">
        <f t="shared" si="0"/>
        <v>1704</v>
      </c>
    </row>
    <row r="31" spans="1:8" x14ac:dyDescent="0.2">
      <c r="A31">
        <v>2008</v>
      </c>
      <c r="B31" t="s">
        <v>66</v>
      </c>
      <c r="C31">
        <v>607</v>
      </c>
      <c r="D31">
        <v>4902</v>
      </c>
      <c r="E31">
        <v>1835</v>
      </c>
      <c r="F31">
        <v>1610</v>
      </c>
      <c r="G31">
        <v>1798</v>
      </c>
      <c r="H31">
        <f t="shared" si="0"/>
        <v>1704</v>
      </c>
    </row>
    <row r="32" spans="1:8" x14ac:dyDescent="0.2">
      <c r="A32">
        <v>2009</v>
      </c>
      <c r="B32" t="s">
        <v>66</v>
      </c>
      <c r="C32">
        <v>607</v>
      </c>
      <c r="D32">
        <v>4902</v>
      </c>
      <c r="E32">
        <v>1835</v>
      </c>
      <c r="F32">
        <v>1610</v>
      </c>
      <c r="G32">
        <v>1798</v>
      </c>
      <c r="H32">
        <f t="shared" si="0"/>
        <v>1704</v>
      </c>
    </row>
    <row r="33" spans="1:9" x14ac:dyDescent="0.2">
      <c r="A33">
        <v>2010</v>
      </c>
      <c r="B33" t="s">
        <v>66</v>
      </c>
      <c r="C33" t="s">
        <v>109</v>
      </c>
      <c r="D33" t="s">
        <v>97</v>
      </c>
      <c r="E33">
        <v>1853</v>
      </c>
      <c r="F33">
        <v>1390</v>
      </c>
      <c r="G33">
        <v>1910</v>
      </c>
      <c r="H33">
        <f t="shared" si="0"/>
        <v>1650</v>
      </c>
    </row>
    <row r="34" spans="1:9" x14ac:dyDescent="0.2">
      <c r="A34">
        <v>2011</v>
      </c>
      <c r="B34" t="s">
        <v>66</v>
      </c>
      <c r="C34">
        <v>508</v>
      </c>
      <c r="D34" t="s">
        <v>97</v>
      </c>
      <c r="E34">
        <v>1853</v>
      </c>
      <c r="F34">
        <v>1390</v>
      </c>
      <c r="G34">
        <v>1910</v>
      </c>
      <c r="H34">
        <f t="shared" si="0"/>
        <v>1650</v>
      </c>
    </row>
    <row r="35" spans="1:9" x14ac:dyDescent="0.2">
      <c r="A35">
        <v>2012</v>
      </c>
      <c r="B35" t="s">
        <v>66</v>
      </c>
      <c r="C35">
        <v>508</v>
      </c>
      <c r="D35" t="s">
        <v>97</v>
      </c>
      <c r="E35">
        <v>1853</v>
      </c>
      <c r="F35">
        <v>1390</v>
      </c>
      <c r="G35">
        <v>1910</v>
      </c>
      <c r="H35">
        <f t="shared" si="0"/>
        <v>1650</v>
      </c>
    </row>
    <row r="36" spans="1:9" x14ac:dyDescent="0.2">
      <c r="A36">
        <v>2013</v>
      </c>
      <c r="B36" t="s">
        <v>66</v>
      </c>
      <c r="C36">
        <v>508</v>
      </c>
      <c r="D36" t="s">
        <v>97</v>
      </c>
      <c r="E36">
        <v>1853</v>
      </c>
      <c r="F36">
        <v>1390</v>
      </c>
      <c r="G36">
        <v>1910</v>
      </c>
      <c r="H36">
        <f t="shared" si="0"/>
        <v>1650</v>
      </c>
    </row>
    <row r="37" spans="1:9" x14ac:dyDescent="0.2">
      <c r="A37">
        <v>2014</v>
      </c>
      <c r="B37" t="s">
        <v>66</v>
      </c>
      <c r="C37">
        <v>508</v>
      </c>
      <c r="D37" t="s">
        <v>97</v>
      </c>
      <c r="E37">
        <v>1853</v>
      </c>
      <c r="F37">
        <v>1390</v>
      </c>
      <c r="G37">
        <v>1910</v>
      </c>
      <c r="H37">
        <f t="shared" si="0"/>
        <v>1650</v>
      </c>
    </row>
    <row r="38" spans="1:9" x14ac:dyDescent="0.2">
      <c r="A38">
        <v>2015</v>
      </c>
      <c r="B38" t="s">
        <v>66</v>
      </c>
      <c r="C38">
        <v>508</v>
      </c>
      <c r="D38" t="s">
        <v>97</v>
      </c>
      <c r="E38">
        <v>1853</v>
      </c>
      <c r="F38">
        <v>1390</v>
      </c>
      <c r="G38">
        <v>1910</v>
      </c>
      <c r="H38">
        <f t="shared" si="0"/>
        <v>1650</v>
      </c>
    </row>
    <row r="39" spans="1:9" x14ac:dyDescent="0.2">
      <c r="A39">
        <v>2016</v>
      </c>
      <c r="B39" t="s">
        <v>66</v>
      </c>
      <c r="C39">
        <v>508</v>
      </c>
      <c r="D39" t="s">
        <v>97</v>
      </c>
      <c r="E39">
        <v>1853</v>
      </c>
      <c r="F39">
        <v>1390</v>
      </c>
      <c r="G39">
        <v>1910</v>
      </c>
      <c r="H39">
        <f t="shared" si="0"/>
        <v>1650</v>
      </c>
    </row>
    <row r="40" spans="1:9" x14ac:dyDescent="0.2">
      <c r="A40">
        <v>2017</v>
      </c>
      <c r="B40" t="s">
        <v>66</v>
      </c>
      <c r="C40">
        <v>508</v>
      </c>
      <c r="D40" t="s">
        <v>97</v>
      </c>
      <c r="E40">
        <v>1853</v>
      </c>
      <c r="F40">
        <v>1390</v>
      </c>
      <c r="G40">
        <v>1910</v>
      </c>
      <c r="H40">
        <f t="shared" si="0"/>
        <v>1650</v>
      </c>
    </row>
    <row r="41" spans="1:9" x14ac:dyDescent="0.2">
      <c r="A41">
        <v>2018</v>
      </c>
      <c r="B41" t="s">
        <v>66</v>
      </c>
      <c r="C41" t="s">
        <v>105</v>
      </c>
      <c r="D41" t="s">
        <v>107</v>
      </c>
      <c r="E41" t="s">
        <v>108</v>
      </c>
      <c r="F41">
        <v>1478</v>
      </c>
      <c r="G41">
        <v>1610</v>
      </c>
      <c r="H41">
        <f t="shared" si="0"/>
        <v>1544</v>
      </c>
    </row>
    <row r="42" spans="1:9" x14ac:dyDescent="0.2">
      <c r="A42">
        <v>2019</v>
      </c>
      <c r="B42" t="s">
        <v>66</v>
      </c>
      <c r="C42" t="s">
        <v>106</v>
      </c>
      <c r="D42" t="s">
        <v>107</v>
      </c>
      <c r="E42" t="s">
        <v>108</v>
      </c>
      <c r="F42">
        <v>1478</v>
      </c>
      <c r="G42">
        <v>1610</v>
      </c>
      <c r="H42">
        <f t="shared" si="0"/>
        <v>1544</v>
      </c>
    </row>
    <row r="43" spans="1:9" x14ac:dyDescent="0.2">
      <c r="A43">
        <v>2020</v>
      </c>
      <c r="B43" t="s">
        <v>66</v>
      </c>
      <c r="C43" t="s">
        <v>106</v>
      </c>
      <c r="D43" t="s">
        <v>107</v>
      </c>
      <c r="E43" t="s">
        <v>108</v>
      </c>
      <c r="F43">
        <v>1478</v>
      </c>
      <c r="G43">
        <v>1610</v>
      </c>
      <c r="H43">
        <f t="shared" si="0"/>
        <v>1544</v>
      </c>
    </row>
    <row r="44" spans="1:9" x14ac:dyDescent="0.2">
      <c r="A44">
        <v>2021</v>
      </c>
      <c r="B44" t="s">
        <v>66</v>
      </c>
      <c r="C44" t="s">
        <v>106</v>
      </c>
      <c r="D44" t="s">
        <v>107</v>
      </c>
      <c r="E44" t="s">
        <v>108</v>
      </c>
      <c r="F44">
        <v>1478</v>
      </c>
      <c r="G44">
        <v>1610</v>
      </c>
      <c r="H44">
        <f t="shared" si="0"/>
        <v>1544</v>
      </c>
    </row>
    <row r="45" spans="1:9" x14ac:dyDescent="0.2">
      <c r="A45">
        <v>2022</v>
      </c>
      <c r="B45" t="s">
        <v>66</v>
      </c>
      <c r="C45" t="s">
        <v>106</v>
      </c>
      <c r="D45" t="s">
        <v>107</v>
      </c>
      <c r="E45" t="s">
        <v>108</v>
      </c>
      <c r="F45">
        <v>1478</v>
      </c>
      <c r="G45">
        <v>1610</v>
      </c>
      <c r="H45">
        <f t="shared" si="0"/>
        <v>1544</v>
      </c>
    </row>
    <row r="46" spans="1:9" x14ac:dyDescent="0.2">
      <c r="A46">
        <v>2023</v>
      </c>
      <c r="B46" t="s">
        <v>66</v>
      </c>
      <c r="C46" t="s">
        <v>106</v>
      </c>
      <c r="D46" t="s">
        <v>107</v>
      </c>
      <c r="E46" t="s">
        <v>108</v>
      </c>
      <c r="F46">
        <v>1478</v>
      </c>
      <c r="G46">
        <v>1610</v>
      </c>
      <c r="H46">
        <f t="shared" si="0"/>
        <v>1544</v>
      </c>
    </row>
    <row r="47" spans="1:9" x14ac:dyDescent="0.2">
      <c r="A47">
        <v>2024</v>
      </c>
      <c r="B47" t="s">
        <v>66</v>
      </c>
      <c r="C47" t="s">
        <v>106</v>
      </c>
      <c r="D47" t="s">
        <v>107</v>
      </c>
      <c r="E47" t="s">
        <v>108</v>
      </c>
      <c r="F47">
        <v>1478</v>
      </c>
      <c r="G47">
        <v>1610</v>
      </c>
      <c r="H47">
        <f t="shared" si="0"/>
        <v>1544</v>
      </c>
    </row>
    <row r="48" spans="1:9" x14ac:dyDescent="0.2">
      <c r="A48">
        <v>1975</v>
      </c>
      <c r="B48" t="s">
        <v>145</v>
      </c>
      <c r="C48" t="s">
        <v>167</v>
      </c>
      <c r="D48">
        <v>4620</v>
      </c>
      <c r="E48">
        <v>1690</v>
      </c>
      <c r="F48">
        <v>1233</v>
      </c>
      <c r="G48">
        <v>1495</v>
      </c>
      <c r="H48">
        <f t="shared" si="0"/>
        <v>1364</v>
      </c>
      <c r="I48">
        <f>AVERAGE(H48)</f>
        <v>1364</v>
      </c>
    </row>
    <row r="49" spans="1:9" x14ac:dyDescent="0.2">
      <c r="A49">
        <v>1976</v>
      </c>
      <c r="B49" t="s">
        <v>145</v>
      </c>
      <c r="C49" t="s">
        <v>167</v>
      </c>
      <c r="D49">
        <v>4620</v>
      </c>
      <c r="E49">
        <v>1690</v>
      </c>
      <c r="F49">
        <v>1233</v>
      </c>
      <c r="G49">
        <v>1495</v>
      </c>
      <c r="H49">
        <f t="shared" si="0"/>
        <v>1364</v>
      </c>
      <c r="I49">
        <f t="shared" ref="I49:I52" si="1">AVERAGE(H49)</f>
        <v>1364</v>
      </c>
    </row>
    <row r="50" spans="1:9" x14ac:dyDescent="0.2">
      <c r="A50">
        <v>1977</v>
      </c>
      <c r="B50" t="s">
        <v>145</v>
      </c>
      <c r="C50" t="s">
        <v>167</v>
      </c>
      <c r="D50">
        <v>4620</v>
      </c>
      <c r="E50">
        <v>1690</v>
      </c>
      <c r="F50">
        <v>1233</v>
      </c>
      <c r="G50">
        <v>1495</v>
      </c>
      <c r="H50">
        <f t="shared" si="0"/>
        <v>1364</v>
      </c>
      <c r="I50">
        <f t="shared" si="1"/>
        <v>1364</v>
      </c>
    </row>
    <row r="51" spans="1:9" x14ac:dyDescent="0.2">
      <c r="A51">
        <v>1978</v>
      </c>
      <c r="B51" t="s">
        <v>145</v>
      </c>
      <c r="C51" t="s">
        <v>167</v>
      </c>
      <c r="D51">
        <v>4620</v>
      </c>
      <c r="E51">
        <v>1690</v>
      </c>
      <c r="F51">
        <v>1233</v>
      </c>
      <c r="G51">
        <v>1495</v>
      </c>
      <c r="H51">
        <f t="shared" si="0"/>
        <v>1364</v>
      </c>
      <c r="I51">
        <f t="shared" si="1"/>
        <v>1364</v>
      </c>
    </row>
    <row r="52" spans="1:9" x14ac:dyDescent="0.2">
      <c r="A52">
        <v>1979</v>
      </c>
      <c r="B52" t="s">
        <v>145</v>
      </c>
      <c r="C52" t="s">
        <v>167</v>
      </c>
      <c r="D52">
        <v>4620</v>
      </c>
      <c r="E52">
        <v>1690</v>
      </c>
      <c r="F52">
        <v>1233</v>
      </c>
      <c r="G52">
        <v>1495</v>
      </c>
      <c r="H52">
        <f t="shared" si="0"/>
        <v>1364</v>
      </c>
      <c r="I52">
        <f t="shared" si="1"/>
        <v>1364</v>
      </c>
    </row>
    <row r="53" spans="1:9" x14ac:dyDescent="0.2">
      <c r="A53">
        <v>1980</v>
      </c>
      <c r="B53" t="s">
        <v>145</v>
      </c>
      <c r="C53" t="s">
        <v>167</v>
      </c>
      <c r="D53">
        <v>4620</v>
      </c>
      <c r="E53">
        <v>1690</v>
      </c>
      <c r="F53">
        <v>1233</v>
      </c>
      <c r="G53">
        <v>1495</v>
      </c>
      <c r="H53">
        <f t="shared" si="0"/>
        <v>1364</v>
      </c>
      <c r="I53">
        <f>AVERAGE(H53,H2)</f>
        <v>1332</v>
      </c>
    </row>
    <row r="54" spans="1:9" x14ac:dyDescent="0.2">
      <c r="A54">
        <v>1981</v>
      </c>
      <c r="B54" t="s">
        <v>145</v>
      </c>
      <c r="C54" t="s">
        <v>167</v>
      </c>
      <c r="D54">
        <v>4620</v>
      </c>
      <c r="E54">
        <v>1690</v>
      </c>
      <c r="F54">
        <v>1233</v>
      </c>
      <c r="G54">
        <v>1495</v>
      </c>
      <c r="H54">
        <f t="shared" si="0"/>
        <v>1364</v>
      </c>
      <c r="I54">
        <f t="shared" ref="I54:I58" si="2">AVERAGE(H54,H3)</f>
        <v>1332</v>
      </c>
    </row>
    <row r="55" spans="1:9" x14ac:dyDescent="0.2">
      <c r="A55">
        <v>1982</v>
      </c>
      <c r="B55" t="s">
        <v>145</v>
      </c>
      <c r="C55" t="s">
        <v>168</v>
      </c>
      <c r="D55">
        <v>4620</v>
      </c>
      <c r="E55">
        <v>1700</v>
      </c>
      <c r="F55">
        <v>1160</v>
      </c>
      <c r="G55">
        <v>1934</v>
      </c>
      <c r="H55">
        <f t="shared" si="0"/>
        <v>1547</v>
      </c>
      <c r="I55">
        <f t="shared" si="2"/>
        <v>1423.5</v>
      </c>
    </row>
    <row r="56" spans="1:9" x14ac:dyDescent="0.2">
      <c r="A56">
        <v>1983</v>
      </c>
      <c r="B56" t="s">
        <v>145</v>
      </c>
      <c r="C56" t="s">
        <v>168</v>
      </c>
      <c r="D56">
        <v>4620</v>
      </c>
      <c r="E56">
        <v>1700</v>
      </c>
      <c r="F56">
        <v>1160</v>
      </c>
      <c r="G56">
        <v>1934</v>
      </c>
      <c r="H56">
        <f t="shared" si="0"/>
        <v>1547</v>
      </c>
      <c r="I56">
        <f t="shared" si="2"/>
        <v>1423.5</v>
      </c>
    </row>
    <row r="57" spans="1:9" x14ac:dyDescent="0.2">
      <c r="A57">
        <v>1984</v>
      </c>
      <c r="B57" t="s">
        <v>145</v>
      </c>
      <c r="C57" t="s">
        <v>168</v>
      </c>
      <c r="D57">
        <v>4620</v>
      </c>
      <c r="E57">
        <v>1700</v>
      </c>
      <c r="F57">
        <v>1160</v>
      </c>
      <c r="G57">
        <v>1934</v>
      </c>
      <c r="H57">
        <f t="shared" si="0"/>
        <v>1547</v>
      </c>
      <c r="I57">
        <f t="shared" si="2"/>
        <v>1423.5</v>
      </c>
    </row>
    <row r="58" spans="1:9" x14ac:dyDescent="0.2">
      <c r="A58">
        <v>1985</v>
      </c>
      <c r="B58" t="s">
        <v>145</v>
      </c>
      <c r="C58" t="s">
        <v>168</v>
      </c>
      <c r="D58">
        <v>4620</v>
      </c>
      <c r="E58">
        <v>1700</v>
      </c>
      <c r="F58">
        <v>1160</v>
      </c>
      <c r="G58">
        <v>1934</v>
      </c>
      <c r="H58">
        <f t="shared" si="0"/>
        <v>1547</v>
      </c>
      <c r="I58">
        <f t="shared" si="2"/>
        <v>1423.5</v>
      </c>
    </row>
    <row r="59" spans="1:9" x14ac:dyDescent="0.2">
      <c r="A59">
        <v>1986</v>
      </c>
      <c r="B59" t="s">
        <v>145</v>
      </c>
      <c r="C59" t="s">
        <v>168</v>
      </c>
      <c r="D59">
        <v>4620</v>
      </c>
      <c r="E59">
        <v>1700</v>
      </c>
      <c r="F59">
        <v>1160</v>
      </c>
      <c r="G59">
        <v>1934</v>
      </c>
      <c r="H59">
        <f t="shared" si="0"/>
        <v>1547</v>
      </c>
      <c r="I59">
        <f>AVERAGE(H59)</f>
        <v>1547</v>
      </c>
    </row>
    <row r="60" spans="1:9" x14ac:dyDescent="0.2">
      <c r="A60">
        <v>1987</v>
      </c>
      <c r="B60" t="s">
        <v>145</v>
      </c>
      <c r="C60" t="s">
        <v>168</v>
      </c>
      <c r="D60">
        <v>4620</v>
      </c>
      <c r="E60">
        <v>1700</v>
      </c>
      <c r="F60">
        <v>1160</v>
      </c>
      <c r="G60">
        <v>1934</v>
      </c>
      <c r="H60">
        <f t="shared" si="0"/>
        <v>1547</v>
      </c>
      <c r="I60">
        <f t="shared" ref="I60:I61" si="3">AVERAGE(H60)</f>
        <v>1547</v>
      </c>
    </row>
    <row r="61" spans="1:9" x14ac:dyDescent="0.2">
      <c r="A61">
        <v>1988</v>
      </c>
      <c r="B61" t="s">
        <v>145</v>
      </c>
      <c r="C61" t="s">
        <v>168</v>
      </c>
      <c r="D61">
        <v>4620</v>
      </c>
      <c r="E61">
        <v>1700</v>
      </c>
      <c r="F61">
        <v>1160</v>
      </c>
      <c r="G61">
        <v>1934</v>
      </c>
      <c r="H61">
        <f t="shared" si="0"/>
        <v>1547</v>
      </c>
      <c r="I61">
        <f t="shared" si="3"/>
        <v>1547</v>
      </c>
    </row>
    <row r="62" spans="1:9" x14ac:dyDescent="0.2">
      <c r="A62">
        <v>1989</v>
      </c>
      <c r="B62" t="s">
        <v>145</v>
      </c>
      <c r="C62" t="s">
        <v>169</v>
      </c>
      <c r="D62">
        <v>4720</v>
      </c>
      <c r="E62">
        <v>1750</v>
      </c>
      <c r="F62">
        <v>1440</v>
      </c>
      <c r="G62">
        <v>1800</v>
      </c>
      <c r="H62">
        <f t="shared" si="0"/>
        <v>1620</v>
      </c>
      <c r="I62">
        <f>AVERAGE(H62,H12)</f>
        <v>1506.25</v>
      </c>
    </row>
    <row r="63" spans="1:9" x14ac:dyDescent="0.2">
      <c r="A63">
        <v>1990</v>
      </c>
      <c r="B63" t="s">
        <v>145</v>
      </c>
      <c r="C63" t="s">
        <v>169</v>
      </c>
      <c r="D63">
        <v>4720</v>
      </c>
      <c r="E63">
        <v>1750</v>
      </c>
      <c r="F63">
        <v>1440</v>
      </c>
      <c r="G63">
        <v>1800</v>
      </c>
      <c r="H63">
        <f t="shared" si="0"/>
        <v>1620</v>
      </c>
      <c r="I63">
        <f t="shared" ref="I63:I97" si="4">AVERAGE(H63,H13)</f>
        <v>1506.25</v>
      </c>
    </row>
    <row r="64" spans="1:9" x14ac:dyDescent="0.2">
      <c r="A64">
        <v>1991</v>
      </c>
      <c r="B64" t="s">
        <v>145</v>
      </c>
      <c r="C64" t="s">
        <v>169</v>
      </c>
      <c r="D64">
        <v>4720</v>
      </c>
      <c r="E64">
        <v>1750</v>
      </c>
      <c r="F64">
        <v>1440</v>
      </c>
      <c r="G64">
        <v>1800</v>
      </c>
      <c r="H64">
        <f t="shared" si="0"/>
        <v>1620</v>
      </c>
      <c r="I64">
        <f t="shared" si="4"/>
        <v>1506.25</v>
      </c>
    </row>
    <row r="65" spans="1:9" x14ac:dyDescent="0.2">
      <c r="A65">
        <v>1992</v>
      </c>
      <c r="B65" t="s">
        <v>145</v>
      </c>
      <c r="C65" t="s">
        <v>169</v>
      </c>
      <c r="D65">
        <v>4720</v>
      </c>
      <c r="E65">
        <v>1750</v>
      </c>
      <c r="F65">
        <v>1440</v>
      </c>
      <c r="G65">
        <v>1800</v>
      </c>
      <c r="H65">
        <f t="shared" si="0"/>
        <v>1620</v>
      </c>
      <c r="I65">
        <f t="shared" si="4"/>
        <v>1506.25</v>
      </c>
    </row>
    <row r="66" spans="1:9" x14ac:dyDescent="0.2">
      <c r="A66">
        <v>1993</v>
      </c>
      <c r="B66" t="s">
        <v>145</v>
      </c>
      <c r="C66" t="s">
        <v>169</v>
      </c>
      <c r="D66">
        <v>4720</v>
      </c>
      <c r="E66">
        <v>1750</v>
      </c>
      <c r="F66">
        <v>1440</v>
      </c>
      <c r="G66">
        <v>1800</v>
      </c>
      <c r="H66">
        <f t="shared" si="0"/>
        <v>1620</v>
      </c>
      <c r="I66">
        <f t="shared" si="4"/>
        <v>1506.25</v>
      </c>
    </row>
    <row r="67" spans="1:9" x14ac:dyDescent="0.2">
      <c r="A67">
        <v>1994</v>
      </c>
      <c r="B67" t="s">
        <v>145</v>
      </c>
      <c r="C67" t="s">
        <v>169</v>
      </c>
      <c r="D67">
        <v>4720</v>
      </c>
      <c r="E67">
        <v>1750</v>
      </c>
      <c r="F67">
        <v>1440</v>
      </c>
      <c r="G67">
        <v>1800</v>
      </c>
      <c r="H67">
        <f t="shared" ref="H67:H97" si="5">AVERAGE(F67:G67)</f>
        <v>1620</v>
      </c>
      <c r="I67">
        <f t="shared" si="4"/>
        <v>1506.25</v>
      </c>
    </row>
    <row r="68" spans="1:9" x14ac:dyDescent="0.2">
      <c r="A68">
        <v>1995</v>
      </c>
      <c r="B68" t="s">
        <v>145</v>
      </c>
      <c r="C68" t="s">
        <v>169</v>
      </c>
      <c r="D68">
        <v>4720</v>
      </c>
      <c r="E68">
        <v>1750</v>
      </c>
      <c r="F68">
        <v>1440</v>
      </c>
      <c r="G68">
        <v>1800</v>
      </c>
      <c r="H68">
        <f t="shared" si="5"/>
        <v>1620</v>
      </c>
      <c r="I68">
        <f t="shared" si="4"/>
        <v>1506.25</v>
      </c>
    </row>
    <row r="69" spans="1:9" x14ac:dyDescent="0.2">
      <c r="A69">
        <v>1996</v>
      </c>
      <c r="B69" t="s">
        <v>145</v>
      </c>
      <c r="C69" t="s">
        <v>170</v>
      </c>
      <c r="D69" t="s">
        <v>171</v>
      </c>
      <c r="E69">
        <v>1800</v>
      </c>
      <c r="F69">
        <v>1685</v>
      </c>
      <c r="G69">
        <v>1845</v>
      </c>
      <c r="H69">
        <f t="shared" si="5"/>
        <v>1765</v>
      </c>
      <c r="I69">
        <f t="shared" si="4"/>
        <v>1578.75</v>
      </c>
    </row>
    <row r="70" spans="1:9" x14ac:dyDescent="0.2">
      <c r="A70">
        <v>1997</v>
      </c>
      <c r="B70" t="s">
        <v>145</v>
      </c>
      <c r="C70" t="s">
        <v>170</v>
      </c>
      <c r="D70" t="s">
        <v>171</v>
      </c>
      <c r="E70">
        <v>1800</v>
      </c>
      <c r="F70">
        <v>1685</v>
      </c>
      <c r="G70">
        <v>1845</v>
      </c>
      <c r="H70">
        <f t="shared" si="5"/>
        <v>1765</v>
      </c>
      <c r="I70">
        <f t="shared" si="4"/>
        <v>1578.75</v>
      </c>
    </row>
    <row r="71" spans="1:9" x14ac:dyDescent="0.2">
      <c r="A71">
        <v>1998</v>
      </c>
      <c r="B71" t="s">
        <v>145</v>
      </c>
      <c r="C71" t="s">
        <v>170</v>
      </c>
      <c r="D71" t="s">
        <v>171</v>
      </c>
      <c r="E71">
        <v>1800</v>
      </c>
      <c r="F71">
        <v>1685</v>
      </c>
      <c r="G71">
        <v>1845</v>
      </c>
      <c r="H71">
        <f t="shared" si="5"/>
        <v>1765</v>
      </c>
      <c r="I71">
        <f t="shared" si="4"/>
        <v>1578.75</v>
      </c>
    </row>
    <row r="72" spans="1:9" x14ac:dyDescent="0.2">
      <c r="A72">
        <v>1999</v>
      </c>
      <c r="B72" t="s">
        <v>145</v>
      </c>
      <c r="C72" t="s">
        <v>170</v>
      </c>
      <c r="D72" t="s">
        <v>171</v>
      </c>
      <c r="E72">
        <v>1800</v>
      </c>
      <c r="F72">
        <v>1685</v>
      </c>
      <c r="G72">
        <v>1845</v>
      </c>
      <c r="H72">
        <f t="shared" si="5"/>
        <v>1765</v>
      </c>
      <c r="I72">
        <f t="shared" si="4"/>
        <v>1578.75</v>
      </c>
    </row>
    <row r="73" spans="1:9" x14ac:dyDescent="0.2">
      <c r="A73">
        <v>2000</v>
      </c>
      <c r="B73" t="s">
        <v>145</v>
      </c>
      <c r="C73" t="s">
        <v>170</v>
      </c>
      <c r="D73" t="s">
        <v>171</v>
      </c>
      <c r="E73">
        <v>1800</v>
      </c>
      <c r="F73">
        <v>1685</v>
      </c>
      <c r="G73">
        <v>1845</v>
      </c>
      <c r="H73">
        <f t="shared" si="5"/>
        <v>1765</v>
      </c>
      <c r="I73">
        <f t="shared" si="4"/>
        <v>1734.5</v>
      </c>
    </row>
    <row r="74" spans="1:9" x14ac:dyDescent="0.2">
      <c r="A74">
        <v>2001</v>
      </c>
      <c r="B74" t="s">
        <v>145</v>
      </c>
      <c r="C74" t="s">
        <v>170</v>
      </c>
      <c r="D74" t="s">
        <v>171</v>
      </c>
      <c r="E74">
        <v>1800</v>
      </c>
      <c r="F74">
        <v>1685</v>
      </c>
      <c r="G74">
        <v>1845</v>
      </c>
      <c r="H74">
        <f t="shared" si="5"/>
        <v>1765</v>
      </c>
      <c r="I74">
        <f t="shared" si="4"/>
        <v>1734.5</v>
      </c>
    </row>
    <row r="75" spans="1:9" x14ac:dyDescent="0.2">
      <c r="A75">
        <v>2002</v>
      </c>
      <c r="B75" t="s">
        <v>145</v>
      </c>
      <c r="C75" t="s">
        <v>170</v>
      </c>
      <c r="D75" t="s">
        <v>171</v>
      </c>
      <c r="E75">
        <v>1800</v>
      </c>
      <c r="F75">
        <v>1685</v>
      </c>
      <c r="G75">
        <v>1845</v>
      </c>
      <c r="H75">
        <f t="shared" si="5"/>
        <v>1765</v>
      </c>
      <c r="I75">
        <f t="shared" si="4"/>
        <v>1734.5</v>
      </c>
    </row>
    <row r="76" spans="1:9" x14ac:dyDescent="0.2">
      <c r="A76">
        <v>2003</v>
      </c>
      <c r="B76" t="s">
        <v>145</v>
      </c>
      <c r="C76" t="s">
        <v>170</v>
      </c>
      <c r="D76" t="s">
        <v>171</v>
      </c>
      <c r="E76">
        <v>1800</v>
      </c>
      <c r="F76">
        <v>1685</v>
      </c>
      <c r="G76">
        <v>1845</v>
      </c>
      <c r="H76">
        <f t="shared" si="5"/>
        <v>1765</v>
      </c>
      <c r="I76">
        <f t="shared" si="4"/>
        <v>1734.5</v>
      </c>
    </row>
    <row r="77" spans="1:9" x14ac:dyDescent="0.2">
      <c r="A77">
        <v>2004</v>
      </c>
      <c r="B77" t="s">
        <v>145</v>
      </c>
      <c r="C77" t="s">
        <v>172</v>
      </c>
      <c r="D77" t="s">
        <v>173</v>
      </c>
      <c r="E77">
        <v>1850</v>
      </c>
      <c r="F77">
        <v>1545</v>
      </c>
      <c r="G77">
        <v>1830</v>
      </c>
      <c r="H77">
        <f t="shared" si="5"/>
        <v>1687.5</v>
      </c>
      <c r="I77">
        <f t="shared" si="4"/>
        <v>1695.75</v>
      </c>
    </row>
    <row r="78" spans="1:9" x14ac:dyDescent="0.2">
      <c r="A78">
        <v>2005</v>
      </c>
      <c r="B78" t="s">
        <v>145</v>
      </c>
      <c r="C78" t="s">
        <v>172</v>
      </c>
      <c r="D78" t="s">
        <v>173</v>
      </c>
      <c r="E78">
        <v>1850</v>
      </c>
      <c r="F78">
        <v>1545</v>
      </c>
      <c r="G78">
        <v>1830</v>
      </c>
      <c r="H78">
        <f t="shared" si="5"/>
        <v>1687.5</v>
      </c>
      <c r="I78">
        <f t="shared" si="4"/>
        <v>1695.75</v>
      </c>
    </row>
    <row r="79" spans="1:9" x14ac:dyDescent="0.2">
      <c r="A79">
        <v>2006</v>
      </c>
      <c r="B79" t="s">
        <v>145</v>
      </c>
      <c r="C79" t="s">
        <v>172</v>
      </c>
      <c r="D79" t="s">
        <v>173</v>
      </c>
      <c r="E79">
        <v>1850</v>
      </c>
      <c r="F79">
        <v>1545</v>
      </c>
      <c r="G79">
        <v>1830</v>
      </c>
      <c r="H79">
        <f t="shared" si="5"/>
        <v>1687.5</v>
      </c>
      <c r="I79">
        <f t="shared" si="4"/>
        <v>1695.75</v>
      </c>
    </row>
    <row r="80" spans="1:9" x14ac:dyDescent="0.2">
      <c r="A80">
        <v>2007</v>
      </c>
      <c r="B80" t="s">
        <v>145</v>
      </c>
      <c r="C80" t="s">
        <v>172</v>
      </c>
      <c r="D80" t="s">
        <v>173</v>
      </c>
      <c r="E80">
        <v>1850</v>
      </c>
      <c r="F80">
        <v>1545</v>
      </c>
      <c r="G80">
        <v>1830</v>
      </c>
      <c r="H80">
        <f t="shared" si="5"/>
        <v>1687.5</v>
      </c>
      <c r="I80">
        <f t="shared" si="4"/>
        <v>1695.75</v>
      </c>
    </row>
    <row r="81" spans="1:9" x14ac:dyDescent="0.2">
      <c r="A81">
        <v>2008</v>
      </c>
      <c r="B81" t="s">
        <v>145</v>
      </c>
      <c r="C81" t="s">
        <v>172</v>
      </c>
      <c r="D81" t="s">
        <v>173</v>
      </c>
      <c r="E81">
        <v>1850</v>
      </c>
      <c r="F81">
        <v>1545</v>
      </c>
      <c r="G81">
        <v>1830</v>
      </c>
      <c r="H81">
        <f t="shared" si="5"/>
        <v>1687.5</v>
      </c>
      <c r="I81">
        <f t="shared" si="4"/>
        <v>1695.75</v>
      </c>
    </row>
    <row r="82" spans="1:9" x14ac:dyDescent="0.2">
      <c r="A82">
        <v>2009</v>
      </c>
      <c r="B82" t="s">
        <v>145</v>
      </c>
      <c r="C82" t="s">
        <v>172</v>
      </c>
      <c r="D82" t="s">
        <v>173</v>
      </c>
      <c r="E82">
        <v>1850</v>
      </c>
      <c r="F82">
        <v>1545</v>
      </c>
      <c r="G82">
        <v>1830</v>
      </c>
      <c r="H82">
        <f t="shared" si="5"/>
        <v>1687.5</v>
      </c>
      <c r="I82">
        <f t="shared" si="4"/>
        <v>1695.75</v>
      </c>
    </row>
    <row r="83" spans="1:9" x14ac:dyDescent="0.2">
      <c r="A83">
        <v>2010</v>
      </c>
      <c r="B83" t="s">
        <v>145</v>
      </c>
      <c r="C83" t="s">
        <v>175</v>
      </c>
      <c r="D83" t="s">
        <v>176</v>
      </c>
      <c r="E83">
        <v>1860</v>
      </c>
      <c r="F83">
        <v>1700</v>
      </c>
      <c r="G83">
        <v>1935</v>
      </c>
      <c r="H83">
        <f t="shared" si="5"/>
        <v>1817.5</v>
      </c>
      <c r="I83">
        <f t="shared" si="4"/>
        <v>1733.75</v>
      </c>
    </row>
    <row r="84" spans="1:9" x14ac:dyDescent="0.2">
      <c r="A84">
        <v>2011</v>
      </c>
      <c r="B84" t="s">
        <v>145</v>
      </c>
      <c r="C84" t="s">
        <v>174</v>
      </c>
      <c r="D84" t="s">
        <v>176</v>
      </c>
      <c r="E84">
        <v>1860</v>
      </c>
      <c r="F84">
        <v>1700</v>
      </c>
      <c r="G84">
        <v>1935</v>
      </c>
      <c r="H84">
        <f t="shared" si="5"/>
        <v>1817.5</v>
      </c>
      <c r="I84">
        <f t="shared" si="4"/>
        <v>1733.75</v>
      </c>
    </row>
    <row r="85" spans="1:9" x14ac:dyDescent="0.2">
      <c r="A85">
        <v>2012</v>
      </c>
      <c r="B85" t="s">
        <v>145</v>
      </c>
      <c r="C85" t="s">
        <v>174</v>
      </c>
      <c r="D85" t="s">
        <v>176</v>
      </c>
      <c r="E85">
        <v>1860</v>
      </c>
      <c r="F85">
        <v>1700</v>
      </c>
      <c r="G85">
        <v>1935</v>
      </c>
      <c r="H85">
        <f t="shared" si="5"/>
        <v>1817.5</v>
      </c>
      <c r="I85">
        <f t="shared" si="4"/>
        <v>1733.75</v>
      </c>
    </row>
    <row r="86" spans="1:9" x14ac:dyDescent="0.2">
      <c r="A86">
        <v>2013</v>
      </c>
      <c r="B86" t="s">
        <v>145</v>
      </c>
      <c r="C86" t="s">
        <v>174</v>
      </c>
      <c r="D86" t="s">
        <v>176</v>
      </c>
      <c r="E86">
        <v>1860</v>
      </c>
      <c r="F86">
        <v>1700</v>
      </c>
      <c r="G86">
        <v>1935</v>
      </c>
      <c r="H86">
        <f t="shared" si="5"/>
        <v>1817.5</v>
      </c>
      <c r="I86">
        <f t="shared" si="4"/>
        <v>1733.75</v>
      </c>
    </row>
    <row r="87" spans="1:9" x14ac:dyDescent="0.2">
      <c r="A87">
        <v>2014</v>
      </c>
      <c r="B87" t="s">
        <v>145</v>
      </c>
      <c r="C87" t="s">
        <v>174</v>
      </c>
      <c r="D87" t="s">
        <v>176</v>
      </c>
      <c r="E87">
        <v>1860</v>
      </c>
      <c r="F87">
        <v>1700</v>
      </c>
      <c r="G87">
        <v>1935</v>
      </c>
      <c r="H87">
        <f t="shared" si="5"/>
        <v>1817.5</v>
      </c>
      <c r="I87">
        <f t="shared" si="4"/>
        <v>1733.75</v>
      </c>
    </row>
    <row r="88" spans="1:9" x14ac:dyDescent="0.2">
      <c r="A88">
        <v>2015</v>
      </c>
      <c r="B88" t="s">
        <v>145</v>
      </c>
      <c r="C88" t="s">
        <v>174</v>
      </c>
      <c r="D88" t="s">
        <v>176</v>
      </c>
      <c r="E88">
        <v>1860</v>
      </c>
      <c r="F88">
        <v>1700</v>
      </c>
      <c r="G88">
        <v>1935</v>
      </c>
      <c r="H88">
        <f t="shared" si="5"/>
        <v>1817.5</v>
      </c>
      <c r="I88">
        <f t="shared" si="4"/>
        <v>1733.75</v>
      </c>
    </row>
    <row r="89" spans="1:9" x14ac:dyDescent="0.2">
      <c r="A89">
        <v>2016</v>
      </c>
      <c r="B89" t="s">
        <v>145</v>
      </c>
      <c r="C89" t="s">
        <v>174</v>
      </c>
      <c r="D89" t="s">
        <v>176</v>
      </c>
      <c r="E89">
        <v>1860</v>
      </c>
      <c r="F89">
        <v>1700</v>
      </c>
      <c r="G89">
        <v>1935</v>
      </c>
      <c r="H89">
        <f t="shared" si="5"/>
        <v>1817.5</v>
      </c>
      <c r="I89">
        <f t="shared" si="4"/>
        <v>1733.75</v>
      </c>
    </row>
    <row r="90" spans="1:9" x14ac:dyDescent="0.2">
      <c r="A90">
        <v>2017</v>
      </c>
      <c r="B90" t="s">
        <v>145</v>
      </c>
      <c r="C90" t="s">
        <v>177</v>
      </c>
      <c r="D90" t="s">
        <v>178</v>
      </c>
      <c r="E90" t="s">
        <v>179</v>
      </c>
      <c r="F90">
        <v>1605</v>
      </c>
      <c r="G90">
        <v>2035</v>
      </c>
      <c r="H90">
        <f t="shared" si="5"/>
        <v>1820</v>
      </c>
      <c r="I90">
        <f t="shared" si="4"/>
        <v>1735</v>
      </c>
    </row>
    <row r="91" spans="1:9" x14ac:dyDescent="0.2">
      <c r="A91">
        <v>2018</v>
      </c>
      <c r="B91" t="s">
        <v>145</v>
      </c>
      <c r="C91" t="s">
        <v>177</v>
      </c>
      <c r="D91" t="s">
        <v>178</v>
      </c>
      <c r="E91" t="s">
        <v>179</v>
      </c>
      <c r="F91">
        <v>1605</v>
      </c>
      <c r="G91">
        <v>2035</v>
      </c>
      <c r="H91">
        <f t="shared" si="5"/>
        <v>1820</v>
      </c>
      <c r="I91">
        <f t="shared" si="4"/>
        <v>1682</v>
      </c>
    </row>
    <row r="92" spans="1:9" x14ac:dyDescent="0.2">
      <c r="A92">
        <v>2019</v>
      </c>
      <c r="B92" t="s">
        <v>145</v>
      </c>
      <c r="C92" t="s">
        <v>177</v>
      </c>
      <c r="D92" t="s">
        <v>178</v>
      </c>
      <c r="E92" t="s">
        <v>179</v>
      </c>
      <c r="F92">
        <v>1605</v>
      </c>
      <c r="G92">
        <v>2035</v>
      </c>
      <c r="H92">
        <f t="shared" si="5"/>
        <v>1820</v>
      </c>
      <c r="I92">
        <f t="shared" si="4"/>
        <v>1682</v>
      </c>
    </row>
    <row r="93" spans="1:9" x14ac:dyDescent="0.2">
      <c r="A93">
        <v>2020</v>
      </c>
      <c r="B93" t="s">
        <v>145</v>
      </c>
      <c r="C93" t="s">
        <v>177</v>
      </c>
      <c r="D93" t="s">
        <v>178</v>
      </c>
      <c r="E93" t="s">
        <v>179</v>
      </c>
      <c r="F93">
        <v>1605</v>
      </c>
      <c r="G93">
        <v>2035</v>
      </c>
      <c r="H93">
        <f t="shared" si="5"/>
        <v>1820</v>
      </c>
      <c r="I93">
        <f t="shared" si="4"/>
        <v>1682</v>
      </c>
    </row>
    <row r="94" spans="1:9" x14ac:dyDescent="0.2">
      <c r="A94">
        <v>2021</v>
      </c>
      <c r="B94" t="s">
        <v>145</v>
      </c>
      <c r="C94" t="s">
        <v>177</v>
      </c>
      <c r="D94" t="s">
        <v>178</v>
      </c>
      <c r="E94" t="s">
        <v>179</v>
      </c>
      <c r="F94">
        <v>1605</v>
      </c>
      <c r="G94">
        <v>2035</v>
      </c>
      <c r="H94">
        <f t="shared" si="5"/>
        <v>1820</v>
      </c>
      <c r="I94">
        <f t="shared" si="4"/>
        <v>1682</v>
      </c>
    </row>
    <row r="95" spans="1:9" x14ac:dyDescent="0.2">
      <c r="A95">
        <v>2022</v>
      </c>
      <c r="B95" t="s">
        <v>145</v>
      </c>
      <c r="C95" t="s">
        <v>177</v>
      </c>
      <c r="D95" t="s">
        <v>178</v>
      </c>
      <c r="E95" t="s">
        <v>179</v>
      </c>
      <c r="F95">
        <v>1605</v>
      </c>
      <c r="G95">
        <v>2035</v>
      </c>
      <c r="H95">
        <f t="shared" si="5"/>
        <v>1820</v>
      </c>
      <c r="I95">
        <f t="shared" si="4"/>
        <v>1682</v>
      </c>
    </row>
    <row r="96" spans="1:9" x14ac:dyDescent="0.2">
      <c r="A96">
        <v>2023</v>
      </c>
      <c r="B96" t="s">
        <v>145</v>
      </c>
      <c r="C96" t="s">
        <v>177</v>
      </c>
      <c r="D96" t="s">
        <v>178</v>
      </c>
      <c r="E96" t="s">
        <v>179</v>
      </c>
      <c r="F96">
        <v>1605</v>
      </c>
      <c r="G96">
        <v>2035</v>
      </c>
      <c r="H96">
        <f t="shared" si="5"/>
        <v>1820</v>
      </c>
      <c r="I96">
        <f t="shared" si="4"/>
        <v>1682</v>
      </c>
    </row>
    <row r="97" spans="1:11" x14ac:dyDescent="0.2">
      <c r="A97">
        <v>2024</v>
      </c>
      <c r="B97" t="s">
        <v>145</v>
      </c>
      <c r="C97" t="s">
        <v>177</v>
      </c>
      <c r="D97" t="s">
        <v>178</v>
      </c>
      <c r="E97" t="s">
        <v>179</v>
      </c>
      <c r="F97">
        <v>1605</v>
      </c>
      <c r="G97">
        <v>2035</v>
      </c>
      <c r="H97">
        <f t="shared" si="5"/>
        <v>1820</v>
      </c>
      <c r="I97">
        <f t="shared" si="4"/>
        <v>1682</v>
      </c>
    </row>
    <row r="106" spans="1:11" x14ac:dyDescent="0.2">
      <c r="K106" t="s">
        <v>225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75A1-9943-3049-B9EC-65F4F1EDBA89}">
  <dimension ref="A1:I51"/>
  <sheetViews>
    <sheetView zoomScale="220" zoomScaleNormal="220" workbookViewId="0">
      <selection activeCell="A4" sqref="A4"/>
    </sheetView>
  </sheetViews>
  <sheetFormatPr baseColWidth="10" defaultColWidth="10.83203125" defaultRowHeight="16" x14ac:dyDescent="0.2"/>
  <sheetData>
    <row r="1" spans="1:9" x14ac:dyDescent="0.2">
      <c r="A1" t="s">
        <v>43</v>
      </c>
      <c r="B1" t="s">
        <v>42</v>
      </c>
      <c r="C1" t="s">
        <v>41</v>
      </c>
      <c r="D1" t="s">
        <v>40</v>
      </c>
      <c r="E1" t="s">
        <v>0</v>
      </c>
      <c r="F1" t="s">
        <v>38</v>
      </c>
      <c r="G1" t="s">
        <v>39</v>
      </c>
      <c r="H1" t="s">
        <v>235</v>
      </c>
      <c r="I1" t="s">
        <v>239</v>
      </c>
    </row>
    <row r="2" spans="1:9" x14ac:dyDescent="0.2">
      <c r="A2">
        <v>1975</v>
      </c>
      <c r="B2" t="s">
        <v>145</v>
      </c>
      <c r="C2" t="s">
        <v>180</v>
      </c>
      <c r="D2" t="s">
        <v>181</v>
      </c>
      <c r="E2">
        <v>1800</v>
      </c>
      <c r="F2">
        <v>1470</v>
      </c>
      <c r="G2">
        <v>1629</v>
      </c>
      <c r="H2">
        <f>AVERAGE(F2:G2)</f>
        <v>1549.5</v>
      </c>
      <c r="I2">
        <f>H2</f>
        <v>1549.5</v>
      </c>
    </row>
    <row r="3" spans="1:9" x14ac:dyDescent="0.2">
      <c r="A3">
        <v>1976</v>
      </c>
      <c r="B3" t="s">
        <v>145</v>
      </c>
      <c r="C3" t="s">
        <v>180</v>
      </c>
      <c r="D3" t="s">
        <v>181</v>
      </c>
      <c r="E3">
        <v>1800</v>
      </c>
      <c r="F3">
        <v>1470</v>
      </c>
      <c r="G3">
        <v>1629</v>
      </c>
      <c r="H3">
        <f>AVERAGE(F3:G3)</f>
        <v>1549.5</v>
      </c>
      <c r="I3">
        <f>H3</f>
        <v>1549.5</v>
      </c>
    </row>
    <row r="4" spans="1:9" x14ac:dyDescent="0.2">
      <c r="A4">
        <v>1977</v>
      </c>
      <c r="B4" t="s">
        <v>145</v>
      </c>
      <c r="C4" t="s">
        <v>180</v>
      </c>
      <c r="D4" t="s">
        <v>181</v>
      </c>
      <c r="E4">
        <v>1800</v>
      </c>
      <c r="F4">
        <v>1470</v>
      </c>
      <c r="G4">
        <v>1629</v>
      </c>
      <c r="H4">
        <f>AVERAGE(F4:G4)</f>
        <v>1549.5</v>
      </c>
      <c r="I4">
        <f>H4</f>
        <v>1549.5</v>
      </c>
    </row>
    <row r="5" spans="1:9" x14ac:dyDescent="0.2">
      <c r="A5">
        <v>1978</v>
      </c>
      <c r="B5" t="s">
        <v>145</v>
      </c>
      <c r="C5" t="s">
        <v>180</v>
      </c>
      <c r="D5" t="s">
        <v>181</v>
      </c>
      <c r="E5">
        <v>1800</v>
      </c>
      <c r="F5">
        <v>1470</v>
      </c>
      <c r="G5">
        <v>1629</v>
      </c>
      <c r="H5">
        <f t="shared" ref="H5:H51" si="0">AVERAGE(F5:G5)</f>
        <v>1549.5</v>
      </c>
      <c r="I5">
        <f t="shared" ref="I5:I51" si="1">H5</f>
        <v>1549.5</v>
      </c>
    </row>
    <row r="6" spans="1:9" x14ac:dyDescent="0.2">
      <c r="A6">
        <v>1979</v>
      </c>
      <c r="B6" t="s">
        <v>145</v>
      </c>
      <c r="C6" t="s">
        <v>180</v>
      </c>
      <c r="D6" t="s">
        <v>181</v>
      </c>
      <c r="E6">
        <v>1800</v>
      </c>
      <c r="F6">
        <v>1470</v>
      </c>
      <c r="G6">
        <v>1629</v>
      </c>
      <c r="H6">
        <f t="shared" si="0"/>
        <v>1549.5</v>
      </c>
      <c r="I6">
        <f t="shared" si="1"/>
        <v>1549.5</v>
      </c>
    </row>
    <row r="7" spans="1:9" x14ac:dyDescent="0.2">
      <c r="A7">
        <v>1980</v>
      </c>
      <c r="B7" t="s">
        <v>145</v>
      </c>
      <c r="C7" t="s">
        <v>180</v>
      </c>
      <c r="D7" t="s">
        <v>181</v>
      </c>
      <c r="E7">
        <v>1800</v>
      </c>
      <c r="F7">
        <v>1470</v>
      </c>
      <c r="G7">
        <v>1629</v>
      </c>
      <c r="H7">
        <f t="shared" si="0"/>
        <v>1549.5</v>
      </c>
      <c r="I7">
        <f t="shared" si="1"/>
        <v>1549.5</v>
      </c>
    </row>
    <row r="8" spans="1:9" x14ac:dyDescent="0.2">
      <c r="A8">
        <v>1981</v>
      </c>
      <c r="B8" t="s">
        <v>145</v>
      </c>
      <c r="C8" t="s">
        <v>180</v>
      </c>
      <c r="D8" t="s">
        <v>181</v>
      </c>
      <c r="E8">
        <v>1800</v>
      </c>
      <c r="F8">
        <v>1470</v>
      </c>
      <c r="G8">
        <v>1629</v>
      </c>
      <c r="H8">
        <f t="shared" si="0"/>
        <v>1549.5</v>
      </c>
      <c r="I8">
        <f t="shared" si="1"/>
        <v>1549.5</v>
      </c>
    </row>
    <row r="9" spans="1:9" x14ac:dyDescent="0.2">
      <c r="A9">
        <v>1982</v>
      </c>
      <c r="B9" t="s">
        <v>145</v>
      </c>
      <c r="C9" t="s">
        <v>180</v>
      </c>
      <c r="D9" t="s">
        <v>181</v>
      </c>
      <c r="E9">
        <v>1800</v>
      </c>
      <c r="F9">
        <v>1470</v>
      </c>
      <c r="G9">
        <v>1629</v>
      </c>
      <c r="H9">
        <f t="shared" si="0"/>
        <v>1549.5</v>
      </c>
      <c r="I9">
        <f t="shared" si="1"/>
        <v>1549.5</v>
      </c>
    </row>
    <row r="10" spans="1:9" x14ac:dyDescent="0.2">
      <c r="A10">
        <v>1983</v>
      </c>
      <c r="B10" t="s">
        <v>145</v>
      </c>
      <c r="C10" t="s">
        <v>180</v>
      </c>
      <c r="D10" t="s">
        <v>181</v>
      </c>
      <c r="E10">
        <v>1800</v>
      </c>
      <c r="F10">
        <v>1470</v>
      </c>
      <c r="G10">
        <v>1629</v>
      </c>
      <c r="H10">
        <f t="shared" si="0"/>
        <v>1549.5</v>
      </c>
      <c r="I10">
        <f t="shared" si="1"/>
        <v>1549.5</v>
      </c>
    </row>
    <row r="11" spans="1:9" x14ac:dyDescent="0.2">
      <c r="A11">
        <v>1984</v>
      </c>
      <c r="B11" t="s">
        <v>145</v>
      </c>
      <c r="C11" t="s">
        <v>180</v>
      </c>
      <c r="D11" t="s">
        <v>181</v>
      </c>
      <c r="E11">
        <v>1800</v>
      </c>
      <c r="F11">
        <v>1470</v>
      </c>
      <c r="G11">
        <v>1629</v>
      </c>
      <c r="H11">
        <f t="shared" si="0"/>
        <v>1549.5</v>
      </c>
      <c r="I11">
        <f t="shared" si="1"/>
        <v>1549.5</v>
      </c>
    </row>
    <row r="12" spans="1:9" x14ac:dyDescent="0.2">
      <c r="A12">
        <v>1985</v>
      </c>
      <c r="B12" t="s">
        <v>145</v>
      </c>
      <c r="C12" t="s">
        <v>180</v>
      </c>
      <c r="D12" t="s">
        <v>181</v>
      </c>
      <c r="E12">
        <v>1800</v>
      </c>
      <c r="F12">
        <v>1470</v>
      </c>
      <c r="G12">
        <v>1629</v>
      </c>
      <c r="H12">
        <f t="shared" si="0"/>
        <v>1549.5</v>
      </c>
      <c r="I12">
        <f t="shared" si="1"/>
        <v>1549.5</v>
      </c>
    </row>
    <row r="13" spans="1:9" x14ac:dyDescent="0.2">
      <c r="A13">
        <v>1986</v>
      </c>
      <c r="B13" t="s">
        <v>145</v>
      </c>
      <c r="C13" t="s">
        <v>180</v>
      </c>
      <c r="D13" t="s">
        <v>181</v>
      </c>
      <c r="E13">
        <v>1800</v>
      </c>
      <c r="F13">
        <v>1470</v>
      </c>
      <c r="G13">
        <v>1629</v>
      </c>
      <c r="H13">
        <f t="shared" si="0"/>
        <v>1549.5</v>
      </c>
      <c r="I13">
        <f t="shared" si="1"/>
        <v>1549.5</v>
      </c>
    </row>
    <row r="14" spans="1:9" x14ac:dyDescent="0.2">
      <c r="A14">
        <v>1987</v>
      </c>
      <c r="B14" t="s">
        <v>145</v>
      </c>
      <c r="C14" t="s">
        <v>182</v>
      </c>
      <c r="D14" t="s">
        <v>183</v>
      </c>
      <c r="E14">
        <v>1845</v>
      </c>
      <c r="F14">
        <v>1720</v>
      </c>
      <c r="G14">
        <v>1930</v>
      </c>
      <c r="H14">
        <f t="shared" si="0"/>
        <v>1825</v>
      </c>
      <c r="I14">
        <f t="shared" si="1"/>
        <v>1825</v>
      </c>
    </row>
    <row r="15" spans="1:9" x14ac:dyDescent="0.2">
      <c r="A15">
        <v>1988</v>
      </c>
      <c r="B15" t="s">
        <v>145</v>
      </c>
      <c r="C15" t="s">
        <v>182</v>
      </c>
      <c r="D15" t="s">
        <v>183</v>
      </c>
      <c r="E15">
        <v>1845</v>
      </c>
      <c r="F15">
        <v>1720</v>
      </c>
      <c r="G15">
        <v>1930</v>
      </c>
      <c r="H15">
        <f t="shared" si="0"/>
        <v>1825</v>
      </c>
      <c r="I15">
        <f t="shared" si="1"/>
        <v>1825</v>
      </c>
    </row>
    <row r="16" spans="1:9" x14ac:dyDescent="0.2">
      <c r="A16">
        <v>1989</v>
      </c>
      <c r="B16" t="s">
        <v>145</v>
      </c>
      <c r="C16" t="s">
        <v>182</v>
      </c>
      <c r="D16" t="s">
        <v>183</v>
      </c>
      <c r="E16">
        <v>1845</v>
      </c>
      <c r="F16">
        <v>1720</v>
      </c>
      <c r="G16">
        <v>1930</v>
      </c>
      <c r="H16">
        <f t="shared" si="0"/>
        <v>1825</v>
      </c>
      <c r="I16">
        <f t="shared" si="1"/>
        <v>1825</v>
      </c>
    </row>
    <row r="17" spans="1:9" x14ac:dyDescent="0.2">
      <c r="A17">
        <v>1990</v>
      </c>
      <c r="B17" t="s">
        <v>145</v>
      </c>
      <c r="C17" t="s">
        <v>182</v>
      </c>
      <c r="D17" t="s">
        <v>183</v>
      </c>
      <c r="E17">
        <v>1845</v>
      </c>
      <c r="F17">
        <v>1720</v>
      </c>
      <c r="G17">
        <v>1930</v>
      </c>
      <c r="H17">
        <f t="shared" si="0"/>
        <v>1825</v>
      </c>
      <c r="I17">
        <f t="shared" si="1"/>
        <v>1825</v>
      </c>
    </row>
    <row r="18" spans="1:9" x14ac:dyDescent="0.2">
      <c r="A18">
        <v>1991</v>
      </c>
      <c r="B18" t="s">
        <v>145</v>
      </c>
      <c r="C18" t="s">
        <v>182</v>
      </c>
      <c r="D18" t="s">
        <v>183</v>
      </c>
      <c r="E18">
        <v>1845</v>
      </c>
      <c r="F18">
        <v>1720</v>
      </c>
      <c r="G18">
        <v>1930</v>
      </c>
      <c r="H18">
        <f t="shared" si="0"/>
        <v>1825</v>
      </c>
      <c r="I18">
        <f t="shared" si="1"/>
        <v>1825</v>
      </c>
    </row>
    <row r="19" spans="1:9" x14ac:dyDescent="0.2">
      <c r="A19">
        <v>1992</v>
      </c>
      <c r="B19" t="s">
        <v>145</v>
      </c>
      <c r="C19" t="s">
        <v>182</v>
      </c>
      <c r="D19" t="s">
        <v>183</v>
      </c>
      <c r="E19">
        <v>1845</v>
      </c>
      <c r="F19">
        <v>1720</v>
      </c>
      <c r="G19">
        <v>1930</v>
      </c>
      <c r="H19">
        <f t="shared" si="0"/>
        <v>1825</v>
      </c>
      <c r="I19">
        <f t="shared" si="1"/>
        <v>1825</v>
      </c>
    </row>
    <row r="20" spans="1:9" x14ac:dyDescent="0.2">
      <c r="A20">
        <v>1993</v>
      </c>
      <c r="B20" t="s">
        <v>145</v>
      </c>
      <c r="C20" t="s">
        <v>182</v>
      </c>
      <c r="D20" t="s">
        <v>183</v>
      </c>
      <c r="E20">
        <v>1845</v>
      </c>
      <c r="F20">
        <v>1720</v>
      </c>
      <c r="G20">
        <v>1930</v>
      </c>
      <c r="H20">
        <f t="shared" si="0"/>
        <v>1825</v>
      </c>
      <c r="I20">
        <f t="shared" si="1"/>
        <v>1825</v>
      </c>
    </row>
    <row r="21" spans="1:9" x14ac:dyDescent="0.2">
      <c r="A21">
        <v>1994</v>
      </c>
      <c r="B21" t="s">
        <v>145</v>
      </c>
      <c r="C21" t="s">
        <v>182</v>
      </c>
      <c r="D21" t="s">
        <v>183</v>
      </c>
      <c r="E21">
        <v>1845</v>
      </c>
      <c r="F21">
        <v>1720</v>
      </c>
      <c r="G21">
        <v>1930</v>
      </c>
      <c r="H21">
        <f t="shared" si="0"/>
        <v>1825</v>
      </c>
      <c r="I21">
        <f t="shared" si="1"/>
        <v>1825</v>
      </c>
    </row>
    <row r="22" spans="1:9" x14ac:dyDescent="0.2">
      <c r="A22">
        <v>1995</v>
      </c>
      <c r="B22" t="s">
        <v>145</v>
      </c>
      <c r="C22" t="s">
        <v>184</v>
      </c>
      <c r="D22" t="s">
        <v>185</v>
      </c>
      <c r="E22">
        <v>1862</v>
      </c>
      <c r="F22">
        <v>1710</v>
      </c>
      <c r="G22">
        <v>2085</v>
      </c>
      <c r="H22">
        <f t="shared" si="0"/>
        <v>1897.5</v>
      </c>
      <c r="I22">
        <f t="shared" si="1"/>
        <v>1897.5</v>
      </c>
    </row>
    <row r="23" spans="1:9" x14ac:dyDescent="0.2">
      <c r="A23">
        <v>1996</v>
      </c>
      <c r="B23" t="s">
        <v>145</v>
      </c>
      <c r="C23" t="s">
        <v>184</v>
      </c>
      <c r="D23" t="s">
        <v>185</v>
      </c>
      <c r="E23">
        <v>1862</v>
      </c>
      <c r="F23">
        <v>1710</v>
      </c>
      <c r="G23">
        <v>2085</v>
      </c>
      <c r="H23">
        <f t="shared" si="0"/>
        <v>1897.5</v>
      </c>
      <c r="I23">
        <f t="shared" si="1"/>
        <v>1897.5</v>
      </c>
    </row>
    <row r="24" spans="1:9" x14ac:dyDescent="0.2">
      <c r="A24">
        <v>1997</v>
      </c>
      <c r="B24" t="s">
        <v>145</v>
      </c>
      <c r="C24" t="s">
        <v>184</v>
      </c>
      <c r="D24" t="s">
        <v>185</v>
      </c>
      <c r="E24">
        <v>1862</v>
      </c>
      <c r="F24">
        <v>1710</v>
      </c>
      <c r="G24">
        <v>2085</v>
      </c>
      <c r="H24">
        <f t="shared" si="0"/>
        <v>1897.5</v>
      </c>
      <c r="I24">
        <f t="shared" si="1"/>
        <v>1897.5</v>
      </c>
    </row>
    <row r="25" spans="1:9" x14ac:dyDescent="0.2">
      <c r="A25">
        <v>1998</v>
      </c>
      <c r="B25" t="s">
        <v>145</v>
      </c>
      <c r="C25" t="s">
        <v>184</v>
      </c>
      <c r="D25" t="s">
        <v>185</v>
      </c>
      <c r="E25">
        <v>1862</v>
      </c>
      <c r="F25">
        <v>1710</v>
      </c>
      <c r="G25">
        <v>2085</v>
      </c>
      <c r="H25">
        <f t="shared" si="0"/>
        <v>1897.5</v>
      </c>
      <c r="I25">
        <f t="shared" si="1"/>
        <v>1897.5</v>
      </c>
    </row>
    <row r="26" spans="1:9" x14ac:dyDescent="0.2">
      <c r="A26">
        <v>1999</v>
      </c>
      <c r="B26" t="s">
        <v>145</v>
      </c>
      <c r="C26" t="s">
        <v>184</v>
      </c>
      <c r="D26" t="s">
        <v>185</v>
      </c>
      <c r="E26">
        <v>1862</v>
      </c>
      <c r="F26">
        <v>1710</v>
      </c>
      <c r="G26">
        <v>2085</v>
      </c>
      <c r="H26">
        <f t="shared" si="0"/>
        <v>1897.5</v>
      </c>
      <c r="I26">
        <f t="shared" si="1"/>
        <v>1897.5</v>
      </c>
    </row>
    <row r="27" spans="1:9" x14ac:dyDescent="0.2">
      <c r="A27">
        <v>2000</v>
      </c>
      <c r="B27" t="s">
        <v>145</v>
      </c>
      <c r="C27" t="s">
        <v>184</v>
      </c>
      <c r="D27" t="s">
        <v>185</v>
      </c>
      <c r="E27">
        <v>1862</v>
      </c>
      <c r="F27">
        <v>1710</v>
      </c>
      <c r="G27">
        <v>2085</v>
      </c>
      <c r="H27">
        <f t="shared" si="0"/>
        <v>1897.5</v>
      </c>
      <c r="I27">
        <f t="shared" si="1"/>
        <v>1897.5</v>
      </c>
    </row>
    <row r="28" spans="1:9" x14ac:dyDescent="0.2">
      <c r="A28">
        <v>2001</v>
      </c>
      <c r="B28" t="s">
        <v>145</v>
      </c>
      <c r="C28" t="s">
        <v>187</v>
      </c>
      <c r="D28" t="s">
        <v>188</v>
      </c>
      <c r="E28">
        <v>1902</v>
      </c>
      <c r="F28">
        <v>1710</v>
      </c>
      <c r="G28">
        <v>2040</v>
      </c>
      <c r="H28">
        <f t="shared" si="0"/>
        <v>1875</v>
      </c>
      <c r="I28">
        <f t="shared" si="1"/>
        <v>1875</v>
      </c>
    </row>
    <row r="29" spans="1:9" x14ac:dyDescent="0.2">
      <c r="A29">
        <v>2002</v>
      </c>
      <c r="B29" t="s">
        <v>145</v>
      </c>
      <c r="C29" t="s">
        <v>186</v>
      </c>
      <c r="D29" t="s">
        <v>188</v>
      </c>
      <c r="E29">
        <v>1902</v>
      </c>
      <c r="F29">
        <v>1710</v>
      </c>
      <c r="G29">
        <v>2040</v>
      </c>
      <c r="H29">
        <f t="shared" si="0"/>
        <v>1875</v>
      </c>
      <c r="I29">
        <f t="shared" si="1"/>
        <v>1875</v>
      </c>
    </row>
    <row r="30" spans="1:9" x14ac:dyDescent="0.2">
      <c r="A30">
        <v>2003</v>
      </c>
      <c r="B30" t="s">
        <v>145</v>
      </c>
      <c r="C30" t="s">
        <v>186</v>
      </c>
      <c r="D30" t="s">
        <v>188</v>
      </c>
      <c r="E30">
        <v>1902</v>
      </c>
      <c r="F30">
        <v>1710</v>
      </c>
      <c r="G30">
        <v>2040</v>
      </c>
      <c r="H30">
        <f t="shared" si="0"/>
        <v>1875</v>
      </c>
      <c r="I30">
        <f t="shared" si="1"/>
        <v>1875</v>
      </c>
    </row>
    <row r="31" spans="1:9" x14ac:dyDescent="0.2">
      <c r="A31">
        <v>2004</v>
      </c>
      <c r="B31" t="s">
        <v>145</v>
      </c>
      <c r="C31" t="s">
        <v>186</v>
      </c>
      <c r="D31" t="s">
        <v>188</v>
      </c>
      <c r="E31">
        <v>1902</v>
      </c>
      <c r="F31">
        <v>1710</v>
      </c>
      <c r="G31">
        <v>2040</v>
      </c>
      <c r="H31">
        <f t="shared" si="0"/>
        <v>1875</v>
      </c>
      <c r="I31">
        <f t="shared" si="1"/>
        <v>1875</v>
      </c>
    </row>
    <row r="32" spans="1:9" x14ac:dyDescent="0.2">
      <c r="A32">
        <v>2005</v>
      </c>
      <c r="B32" t="s">
        <v>145</v>
      </c>
      <c r="C32" t="s">
        <v>186</v>
      </c>
      <c r="D32" t="s">
        <v>188</v>
      </c>
      <c r="E32">
        <v>1902</v>
      </c>
      <c r="F32">
        <v>1710</v>
      </c>
      <c r="G32">
        <v>2040</v>
      </c>
      <c r="H32">
        <f t="shared" si="0"/>
        <v>1875</v>
      </c>
      <c r="I32">
        <f t="shared" si="1"/>
        <v>1875</v>
      </c>
    </row>
    <row r="33" spans="1:9" x14ac:dyDescent="0.2">
      <c r="A33">
        <v>2006</v>
      </c>
      <c r="B33" t="s">
        <v>145</v>
      </c>
      <c r="C33" t="s">
        <v>186</v>
      </c>
      <c r="D33" t="s">
        <v>188</v>
      </c>
      <c r="E33">
        <v>1902</v>
      </c>
      <c r="F33">
        <v>1710</v>
      </c>
      <c r="G33">
        <v>2040</v>
      </c>
      <c r="H33">
        <f t="shared" si="0"/>
        <v>1875</v>
      </c>
      <c r="I33">
        <f t="shared" si="1"/>
        <v>1875</v>
      </c>
    </row>
    <row r="34" spans="1:9" x14ac:dyDescent="0.2">
      <c r="A34">
        <v>2007</v>
      </c>
      <c r="B34" t="s">
        <v>145</v>
      </c>
      <c r="C34" t="s">
        <v>186</v>
      </c>
      <c r="D34" t="s">
        <v>188</v>
      </c>
      <c r="E34">
        <v>1902</v>
      </c>
      <c r="F34">
        <v>1710</v>
      </c>
      <c r="G34">
        <v>2040</v>
      </c>
      <c r="H34">
        <f t="shared" si="0"/>
        <v>1875</v>
      </c>
      <c r="I34">
        <f t="shared" si="1"/>
        <v>1875</v>
      </c>
    </row>
    <row r="35" spans="1:9" x14ac:dyDescent="0.2">
      <c r="A35">
        <v>2008</v>
      </c>
      <c r="B35" t="s">
        <v>145</v>
      </c>
      <c r="C35" t="s">
        <v>190</v>
      </c>
      <c r="D35" t="s">
        <v>191</v>
      </c>
      <c r="E35">
        <v>1902</v>
      </c>
      <c r="F35">
        <v>1955</v>
      </c>
      <c r="G35">
        <v>2274</v>
      </c>
      <c r="H35">
        <f t="shared" si="0"/>
        <v>2114.5</v>
      </c>
      <c r="I35">
        <f t="shared" si="1"/>
        <v>2114.5</v>
      </c>
    </row>
    <row r="36" spans="1:9" x14ac:dyDescent="0.2">
      <c r="A36">
        <v>2009</v>
      </c>
      <c r="B36" t="s">
        <v>145</v>
      </c>
      <c r="C36" t="s">
        <v>189</v>
      </c>
      <c r="D36" t="s">
        <v>191</v>
      </c>
      <c r="E36">
        <v>1902</v>
      </c>
      <c r="F36">
        <v>1955</v>
      </c>
      <c r="G36">
        <v>2274</v>
      </c>
      <c r="H36">
        <f t="shared" si="0"/>
        <v>2114.5</v>
      </c>
      <c r="I36">
        <f t="shared" si="1"/>
        <v>2114.5</v>
      </c>
    </row>
    <row r="37" spans="1:9" x14ac:dyDescent="0.2">
      <c r="A37">
        <v>2010</v>
      </c>
      <c r="B37" t="s">
        <v>145</v>
      </c>
      <c r="C37" t="s">
        <v>189</v>
      </c>
      <c r="D37" t="s">
        <v>191</v>
      </c>
      <c r="E37">
        <v>1902</v>
      </c>
      <c r="F37">
        <v>1955</v>
      </c>
      <c r="G37">
        <v>2274</v>
      </c>
      <c r="H37">
        <f t="shared" si="0"/>
        <v>2114.5</v>
      </c>
      <c r="I37">
        <f t="shared" si="1"/>
        <v>2114.5</v>
      </c>
    </row>
    <row r="38" spans="1:9" x14ac:dyDescent="0.2">
      <c r="A38">
        <v>2011</v>
      </c>
      <c r="B38" t="s">
        <v>145</v>
      </c>
      <c r="C38" t="s">
        <v>189</v>
      </c>
      <c r="D38" t="s">
        <v>191</v>
      </c>
      <c r="E38">
        <v>1902</v>
      </c>
      <c r="F38">
        <v>1955</v>
      </c>
      <c r="G38">
        <v>2274</v>
      </c>
      <c r="H38">
        <f t="shared" si="0"/>
        <v>2114.5</v>
      </c>
      <c r="I38">
        <f t="shared" si="1"/>
        <v>2114.5</v>
      </c>
    </row>
    <row r="39" spans="1:9" x14ac:dyDescent="0.2">
      <c r="A39">
        <v>2012</v>
      </c>
      <c r="B39" t="s">
        <v>145</v>
      </c>
      <c r="C39" t="s">
        <v>189</v>
      </c>
      <c r="D39" t="s">
        <v>191</v>
      </c>
      <c r="E39">
        <v>1902</v>
      </c>
      <c r="F39">
        <v>1955</v>
      </c>
      <c r="G39">
        <v>2274</v>
      </c>
      <c r="H39">
        <f t="shared" si="0"/>
        <v>2114.5</v>
      </c>
      <c r="I39">
        <f t="shared" si="1"/>
        <v>2114.5</v>
      </c>
    </row>
    <row r="40" spans="1:9" x14ac:dyDescent="0.2">
      <c r="A40">
        <v>2013</v>
      </c>
      <c r="B40" t="s">
        <v>145</v>
      </c>
      <c r="C40" t="s">
        <v>189</v>
      </c>
      <c r="D40" t="s">
        <v>191</v>
      </c>
      <c r="E40">
        <v>1902</v>
      </c>
      <c r="F40">
        <v>1955</v>
      </c>
      <c r="G40">
        <v>2274</v>
      </c>
      <c r="H40">
        <f t="shared" si="0"/>
        <v>2114.5</v>
      </c>
      <c r="I40">
        <f t="shared" si="1"/>
        <v>2114.5</v>
      </c>
    </row>
    <row r="41" spans="1:9" x14ac:dyDescent="0.2">
      <c r="A41">
        <v>2014</v>
      </c>
      <c r="B41" t="s">
        <v>145</v>
      </c>
      <c r="C41" t="s">
        <v>189</v>
      </c>
      <c r="D41" t="s">
        <v>191</v>
      </c>
      <c r="E41">
        <v>1902</v>
      </c>
      <c r="F41">
        <v>1955</v>
      </c>
      <c r="G41">
        <v>2274</v>
      </c>
      <c r="H41">
        <f t="shared" si="0"/>
        <v>2114.5</v>
      </c>
      <c r="I41">
        <f t="shared" si="1"/>
        <v>2114.5</v>
      </c>
    </row>
    <row r="42" spans="1:9" x14ac:dyDescent="0.2">
      <c r="A42">
        <v>2015</v>
      </c>
      <c r="B42" t="s">
        <v>145</v>
      </c>
      <c r="C42" t="s">
        <v>189</v>
      </c>
      <c r="D42" t="s">
        <v>191</v>
      </c>
      <c r="E42">
        <v>1902</v>
      </c>
      <c r="F42">
        <v>1755</v>
      </c>
      <c r="G42">
        <v>2255</v>
      </c>
      <c r="H42">
        <f t="shared" si="0"/>
        <v>2005</v>
      </c>
      <c r="I42">
        <f t="shared" si="1"/>
        <v>2005</v>
      </c>
    </row>
    <row r="43" spans="1:9" x14ac:dyDescent="0.2">
      <c r="A43">
        <v>2016</v>
      </c>
      <c r="B43" t="s">
        <v>145</v>
      </c>
      <c r="C43" t="s">
        <v>192</v>
      </c>
      <c r="D43" t="s">
        <v>193</v>
      </c>
      <c r="E43">
        <v>1902</v>
      </c>
      <c r="F43">
        <v>1755</v>
      </c>
      <c r="G43">
        <v>2255</v>
      </c>
      <c r="H43">
        <f t="shared" si="0"/>
        <v>2005</v>
      </c>
      <c r="I43">
        <f t="shared" si="1"/>
        <v>2005</v>
      </c>
    </row>
    <row r="44" spans="1:9" x14ac:dyDescent="0.2">
      <c r="A44">
        <v>2017</v>
      </c>
      <c r="B44" t="s">
        <v>145</v>
      </c>
      <c r="C44" t="s">
        <v>192</v>
      </c>
      <c r="D44" t="s">
        <v>193</v>
      </c>
      <c r="E44">
        <v>1902</v>
      </c>
      <c r="F44">
        <v>1755</v>
      </c>
      <c r="G44">
        <v>2255</v>
      </c>
      <c r="H44">
        <f t="shared" si="0"/>
        <v>2005</v>
      </c>
      <c r="I44">
        <f t="shared" si="1"/>
        <v>2005</v>
      </c>
    </row>
    <row r="45" spans="1:9" x14ac:dyDescent="0.2">
      <c r="A45">
        <v>2018</v>
      </c>
      <c r="B45" t="s">
        <v>145</v>
      </c>
      <c r="C45" t="s">
        <v>192</v>
      </c>
      <c r="D45" t="s">
        <v>193</v>
      </c>
      <c r="E45">
        <v>1902</v>
      </c>
      <c r="F45">
        <v>1755</v>
      </c>
      <c r="G45">
        <v>2255</v>
      </c>
      <c r="H45">
        <f t="shared" si="0"/>
        <v>2005</v>
      </c>
      <c r="I45">
        <f t="shared" si="1"/>
        <v>2005</v>
      </c>
    </row>
    <row r="46" spans="1:9" x14ac:dyDescent="0.2">
      <c r="A46">
        <v>2019</v>
      </c>
      <c r="B46" t="s">
        <v>145</v>
      </c>
      <c r="C46" t="s">
        <v>192</v>
      </c>
      <c r="D46" t="s">
        <v>193</v>
      </c>
      <c r="E46">
        <v>1902</v>
      </c>
      <c r="F46">
        <v>1755</v>
      </c>
      <c r="G46">
        <v>2255</v>
      </c>
      <c r="H46">
        <f t="shared" si="0"/>
        <v>2005</v>
      </c>
      <c r="I46">
        <f t="shared" si="1"/>
        <v>2005</v>
      </c>
    </row>
    <row r="47" spans="1:9" x14ac:dyDescent="0.2">
      <c r="A47">
        <v>2020</v>
      </c>
      <c r="B47" t="s">
        <v>145</v>
      </c>
      <c r="C47" t="s">
        <v>192</v>
      </c>
      <c r="D47" t="s">
        <v>193</v>
      </c>
      <c r="E47">
        <v>1902</v>
      </c>
      <c r="F47">
        <v>1755</v>
      </c>
      <c r="G47">
        <v>2255</v>
      </c>
      <c r="H47">
        <f t="shared" si="0"/>
        <v>2005</v>
      </c>
      <c r="I47">
        <f t="shared" si="1"/>
        <v>2005</v>
      </c>
    </row>
    <row r="48" spans="1:9" x14ac:dyDescent="0.2">
      <c r="A48">
        <v>2021</v>
      </c>
      <c r="B48" t="s">
        <v>145</v>
      </c>
      <c r="C48" t="s">
        <v>192</v>
      </c>
      <c r="D48" t="s">
        <v>193</v>
      </c>
      <c r="E48">
        <v>1902</v>
      </c>
      <c r="F48">
        <v>1755</v>
      </c>
      <c r="G48">
        <v>2255</v>
      </c>
      <c r="H48">
        <f t="shared" si="0"/>
        <v>2005</v>
      </c>
      <c r="I48">
        <f t="shared" si="1"/>
        <v>2005</v>
      </c>
    </row>
    <row r="49" spans="1:9" x14ac:dyDescent="0.2">
      <c r="A49">
        <v>2022</v>
      </c>
      <c r="B49" t="s">
        <v>145</v>
      </c>
      <c r="C49" t="s">
        <v>192</v>
      </c>
      <c r="D49" t="s">
        <v>193</v>
      </c>
      <c r="E49">
        <v>1902</v>
      </c>
      <c r="F49">
        <v>1755</v>
      </c>
      <c r="G49">
        <v>2255</v>
      </c>
      <c r="H49">
        <f t="shared" si="0"/>
        <v>2005</v>
      </c>
      <c r="I49">
        <f t="shared" si="1"/>
        <v>2005</v>
      </c>
    </row>
    <row r="50" spans="1:9" x14ac:dyDescent="0.2">
      <c r="A50">
        <v>2023</v>
      </c>
      <c r="B50" t="s">
        <v>145</v>
      </c>
      <c r="C50" t="s">
        <v>194</v>
      </c>
      <c r="D50">
        <v>5391</v>
      </c>
      <c r="E50">
        <v>1950</v>
      </c>
      <c r="F50">
        <v>2075</v>
      </c>
      <c r="G50">
        <v>2770</v>
      </c>
      <c r="H50">
        <f t="shared" si="0"/>
        <v>2422.5</v>
      </c>
      <c r="I50">
        <f t="shared" si="1"/>
        <v>2422.5</v>
      </c>
    </row>
    <row r="51" spans="1:9" x14ac:dyDescent="0.2">
      <c r="A51">
        <v>2024</v>
      </c>
      <c r="B51" t="s">
        <v>145</v>
      </c>
      <c r="C51" t="s">
        <v>194</v>
      </c>
      <c r="D51">
        <v>5391</v>
      </c>
      <c r="E51">
        <v>1950</v>
      </c>
      <c r="F51">
        <v>2075</v>
      </c>
      <c r="G51">
        <v>2770</v>
      </c>
      <c r="H51">
        <f t="shared" si="0"/>
        <v>2422.5</v>
      </c>
      <c r="I51">
        <f t="shared" si="1"/>
        <v>2422.5</v>
      </c>
    </row>
  </sheetData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5CA-F01E-6547-9E16-35073BE78759}">
  <dimension ref="A1:C5"/>
  <sheetViews>
    <sheetView workbookViewId="0">
      <selection activeCell="H11" sqref="H11"/>
    </sheetView>
  </sheetViews>
  <sheetFormatPr baseColWidth="10" defaultColWidth="10.83203125" defaultRowHeight="16" x14ac:dyDescent="0.2"/>
  <sheetData>
    <row r="1" spans="1:3" x14ac:dyDescent="0.2">
      <c r="A1" t="s">
        <v>38</v>
      </c>
      <c r="B1" t="s">
        <v>114</v>
      </c>
      <c r="C1" t="s">
        <v>196</v>
      </c>
    </row>
    <row r="2" spans="1:3" x14ac:dyDescent="0.2">
      <c r="B2">
        <v>999</v>
      </c>
      <c r="C2">
        <v>1</v>
      </c>
    </row>
    <row r="3" spans="1:3" x14ac:dyDescent="0.2">
      <c r="A3">
        <v>1000</v>
      </c>
      <c r="B3">
        <v>1249</v>
      </c>
      <c r="C3">
        <v>2</v>
      </c>
    </row>
    <row r="4" spans="1:3" x14ac:dyDescent="0.2">
      <c r="A4">
        <v>1250</v>
      </c>
      <c r="B4">
        <v>1499</v>
      </c>
      <c r="C4">
        <v>3</v>
      </c>
    </row>
    <row r="5" spans="1:3" x14ac:dyDescent="0.2">
      <c r="A5">
        <v>1500</v>
      </c>
      <c r="C5">
        <v>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1E68-9B0A-B94D-AC17-4FB1A419BAC4}">
  <dimension ref="A1:B53"/>
  <sheetViews>
    <sheetView topLeftCell="A28" workbookViewId="0">
      <selection activeCell="A41" sqref="A41"/>
    </sheetView>
  </sheetViews>
  <sheetFormatPr baseColWidth="10" defaultColWidth="10.83203125" defaultRowHeight="16" x14ac:dyDescent="0.2"/>
  <cols>
    <col min="1" max="1" width="17.33203125" customWidth="1"/>
  </cols>
  <sheetData>
    <row r="1" spans="1:2" x14ac:dyDescent="0.2">
      <c r="A1" t="s">
        <v>240</v>
      </c>
      <c r="B1" t="s">
        <v>197</v>
      </c>
    </row>
    <row r="2" spans="1:2" x14ac:dyDescent="0.2">
      <c r="A2" t="s">
        <v>292</v>
      </c>
      <c r="B2" t="s">
        <v>204</v>
      </c>
    </row>
    <row r="3" spans="1:2" x14ac:dyDescent="0.2">
      <c r="A3" t="s">
        <v>198</v>
      </c>
      <c r="B3" t="s">
        <v>205</v>
      </c>
    </row>
    <row r="4" spans="1:2" x14ac:dyDescent="0.2">
      <c r="A4" t="s">
        <v>199</v>
      </c>
      <c r="B4" t="s">
        <v>206</v>
      </c>
    </row>
    <row r="5" spans="1:2" x14ac:dyDescent="0.2">
      <c r="A5" t="s">
        <v>200</v>
      </c>
      <c r="B5" t="s">
        <v>207</v>
      </c>
    </row>
    <row r="6" spans="1:2" x14ac:dyDescent="0.2">
      <c r="A6" t="s">
        <v>201</v>
      </c>
      <c r="B6" t="s">
        <v>209</v>
      </c>
    </row>
    <row r="7" spans="1:2" x14ac:dyDescent="0.2">
      <c r="A7" t="s">
        <v>202</v>
      </c>
      <c r="B7" t="s">
        <v>208</v>
      </c>
    </row>
    <row r="8" spans="1:2" x14ac:dyDescent="0.2">
      <c r="A8" t="s">
        <v>203</v>
      </c>
      <c r="B8" t="s">
        <v>210</v>
      </c>
    </row>
    <row r="9" spans="1:2" x14ac:dyDescent="0.2">
      <c r="A9" t="s">
        <v>212</v>
      </c>
      <c r="B9" t="s">
        <v>217</v>
      </c>
    </row>
    <row r="10" spans="1:2" x14ac:dyDescent="0.2">
      <c r="A10" t="s">
        <v>211</v>
      </c>
      <c r="B10" t="s">
        <v>218</v>
      </c>
    </row>
    <row r="11" spans="1:2" x14ac:dyDescent="0.2">
      <c r="A11" t="s">
        <v>213</v>
      </c>
      <c r="B11" t="s">
        <v>219</v>
      </c>
    </row>
    <row r="12" spans="1:2" x14ac:dyDescent="0.2">
      <c r="A12" t="s">
        <v>214</v>
      </c>
      <c r="B12" t="s">
        <v>220</v>
      </c>
    </row>
    <row r="13" spans="1:2" x14ac:dyDescent="0.2">
      <c r="A13" t="s">
        <v>215</v>
      </c>
      <c r="B13" t="s">
        <v>221</v>
      </c>
    </row>
    <row r="14" spans="1:2" x14ac:dyDescent="0.2">
      <c r="A14" t="s">
        <v>216</v>
      </c>
      <c r="B14" t="s">
        <v>222</v>
      </c>
    </row>
    <row r="15" spans="1:2" x14ac:dyDescent="0.2">
      <c r="A15" t="s">
        <v>293</v>
      </c>
      <c r="B15" t="s">
        <v>279</v>
      </c>
    </row>
    <row r="16" spans="1:2" x14ac:dyDescent="0.2">
      <c r="A16" t="s">
        <v>294</v>
      </c>
      <c r="B16" t="s">
        <v>280</v>
      </c>
    </row>
    <row r="17" spans="1:2" x14ac:dyDescent="0.2">
      <c r="A17" t="s">
        <v>295</v>
      </c>
      <c r="B17" t="s">
        <v>281</v>
      </c>
    </row>
    <row r="18" spans="1:2" x14ac:dyDescent="0.2">
      <c r="A18" t="s">
        <v>296</v>
      </c>
      <c r="B18" t="s">
        <v>282</v>
      </c>
    </row>
    <row r="19" spans="1:2" x14ac:dyDescent="0.2">
      <c r="A19" t="s">
        <v>297</v>
      </c>
      <c r="B19" t="s">
        <v>283</v>
      </c>
    </row>
    <row r="20" spans="1:2" x14ac:dyDescent="0.2">
      <c r="A20" t="s">
        <v>298</v>
      </c>
      <c r="B20" t="s">
        <v>284</v>
      </c>
    </row>
    <row r="21" spans="1:2" x14ac:dyDescent="0.2">
      <c r="A21" t="s">
        <v>299</v>
      </c>
      <c r="B21" t="s">
        <v>285</v>
      </c>
    </row>
    <row r="22" spans="1:2" x14ac:dyDescent="0.2">
      <c r="A22" t="s">
        <v>300</v>
      </c>
      <c r="B22" t="s">
        <v>286</v>
      </c>
    </row>
    <row r="23" spans="1:2" x14ac:dyDescent="0.2">
      <c r="A23" t="s">
        <v>302</v>
      </c>
      <c r="B23" t="s">
        <v>287</v>
      </c>
    </row>
    <row r="24" spans="1:2" x14ac:dyDescent="0.2">
      <c r="A24" t="s">
        <v>301</v>
      </c>
      <c r="B24" t="s">
        <v>288</v>
      </c>
    </row>
    <row r="25" spans="1:2" x14ac:dyDescent="0.2">
      <c r="A25" t="s">
        <v>303</v>
      </c>
      <c r="B25" t="s">
        <v>289</v>
      </c>
    </row>
    <row r="26" spans="1:2" x14ac:dyDescent="0.2">
      <c r="A26" t="s">
        <v>304</v>
      </c>
      <c r="B26" t="s">
        <v>290</v>
      </c>
    </row>
    <row r="27" spans="1:2" x14ac:dyDescent="0.2">
      <c r="A27" t="s">
        <v>305</v>
      </c>
      <c r="B27" t="s">
        <v>291</v>
      </c>
    </row>
    <row r="28" spans="1:2" x14ac:dyDescent="0.2">
      <c r="A28" t="s">
        <v>319</v>
      </c>
      <c r="B28" t="s">
        <v>307</v>
      </c>
    </row>
    <row r="29" spans="1:2" x14ac:dyDescent="0.2">
      <c r="A29" t="s">
        <v>320</v>
      </c>
      <c r="B29" t="s">
        <v>306</v>
      </c>
    </row>
    <row r="30" spans="1:2" x14ac:dyDescent="0.2">
      <c r="A30" t="s">
        <v>321</v>
      </c>
      <c r="B30" t="s">
        <v>308</v>
      </c>
    </row>
    <row r="31" spans="1:2" x14ac:dyDescent="0.2">
      <c r="A31" t="s">
        <v>322</v>
      </c>
      <c r="B31" t="s">
        <v>309</v>
      </c>
    </row>
    <row r="32" spans="1:2" x14ac:dyDescent="0.2">
      <c r="A32" t="s">
        <v>323</v>
      </c>
      <c r="B32" t="s">
        <v>310</v>
      </c>
    </row>
    <row r="33" spans="1:2" x14ac:dyDescent="0.2">
      <c r="A33" t="s">
        <v>324</v>
      </c>
      <c r="B33" t="s">
        <v>311</v>
      </c>
    </row>
    <row r="34" spans="1:2" x14ac:dyDescent="0.2">
      <c r="A34" t="s">
        <v>325</v>
      </c>
      <c r="B34" t="s">
        <v>312</v>
      </c>
    </row>
    <row r="35" spans="1:2" x14ac:dyDescent="0.2">
      <c r="A35" t="s">
        <v>326</v>
      </c>
      <c r="B35" t="s">
        <v>313</v>
      </c>
    </row>
    <row r="36" spans="1:2" x14ac:dyDescent="0.2">
      <c r="A36" t="s">
        <v>327</v>
      </c>
      <c r="B36" t="s">
        <v>314</v>
      </c>
    </row>
    <row r="37" spans="1:2" x14ac:dyDescent="0.2">
      <c r="A37" t="s">
        <v>328</v>
      </c>
      <c r="B37" t="s">
        <v>315</v>
      </c>
    </row>
    <row r="38" spans="1:2" x14ac:dyDescent="0.2">
      <c r="A38" t="s">
        <v>329</v>
      </c>
      <c r="B38" t="s">
        <v>316</v>
      </c>
    </row>
    <row r="39" spans="1:2" x14ac:dyDescent="0.2">
      <c r="A39" t="s">
        <v>330</v>
      </c>
      <c r="B39" t="s">
        <v>317</v>
      </c>
    </row>
    <row r="40" spans="1:2" x14ac:dyDescent="0.2">
      <c r="A40" t="s">
        <v>331</v>
      </c>
      <c r="B40" t="s">
        <v>318</v>
      </c>
    </row>
    <row r="41" spans="1:2" x14ac:dyDescent="0.2">
      <c r="A41" t="s">
        <v>358</v>
      </c>
      <c r="B41" t="s">
        <v>345</v>
      </c>
    </row>
    <row r="42" spans="1:2" x14ac:dyDescent="0.2">
      <c r="A42" t="s">
        <v>359</v>
      </c>
      <c r="B42" t="s">
        <v>346</v>
      </c>
    </row>
    <row r="43" spans="1:2" x14ac:dyDescent="0.2">
      <c r="A43" t="s">
        <v>360</v>
      </c>
      <c r="B43" t="s">
        <v>347</v>
      </c>
    </row>
    <row r="44" spans="1:2" x14ac:dyDescent="0.2">
      <c r="A44" t="s">
        <v>361</v>
      </c>
      <c r="B44" t="s">
        <v>348</v>
      </c>
    </row>
    <row r="45" spans="1:2" x14ac:dyDescent="0.2">
      <c r="A45" t="s">
        <v>362</v>
      </c>
      <c r="B45" t="s">
        <v>349</v>
      </c>
    </row>
    <row r="46" spans="1:2" x14ac:dyDescent="0.2">
      <c r="A46" t="s">
        <v>363</v>
      </c>
      <c r="B46" t="s">
        <v>350</v>
      </c>
    </row>
    <row r="47" spans="1:2" x14ac:dyDescent="0.2">
      <c r="A47" t="s">
        <v>364</v>
      </c>
      <c r="B47" t="s">
        <v>351</v>
      </c>
    </row>
    <row r="48" spans="1:2" x14ac:dyDescent="0.2">
      <c r="A48" t="s">
        <v>365</v>
      </c>
      <c r="B48" t="s">
        <v>352</v>
      </c>
    </row>
    <row r="49" spans="1:2" x14ac:dyDescent="0.2">
      <c r="A49" t="s">
        <v>366</v>
      </c>
      <c r="B49" t="s">
        <v>353</v>
      </c>
    </row>
    <row r="50" spans="1:2" x14ac:dyDescent="0.2">
      <c r="A50" t="s">
        <v>367</v>
      </c>
      <c r="B50" t="s">
        <v>354</v>
      </c>
    </row>
    <row r="51" spans="1:2" x14ac:dyDescent="0.2">
      <c r="A51" t="s">
        <v>368</v>
      </c>
      <c r="B51" t="s">
        <v>355</v>
      </c>
    </row>
    <row r="52" spans="1:2" x14ac:dyDescent="0.2">
      <c r="A52" t="s">
        <v>369</v>
      </c>
      <c r="B52" t="s">
        <v>356</v>
      </c>
    </row>
    <row r="53" spans="1:2" x14ac:dyDescent="0.2">
      <c r="A53" t="s">
        <v>370</v>
      </c>
      <c r="B53" t="s">
        <v>357</v>
      </c>
    </row>
  </sheetData>
  <phoneticPr fontId="1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7C24-D929-8945-9B71-08AF209FB9A3}">
  <dimension ref="A1:BP51"/>
  <sheetViews>
    <sheetView topLeftCell="B1" zoomScale="150" zoomScaleNormal="150" workbookViewId="0">
      <selection activeCell="N1" sqref="N1:N51"/>
    </sheetView>
  </sheetViews>
  <sheetFormatPr baseColWidth="10" defaultColWidth="10.83203125" defaultRowHeight="16" x14ac:dyDescent="0.2"/>
  <cols>
    <col min="16" max="16" width="37.1640625" customWidth="1"/>
    <col min="17" max="19" width="35.6640625" customWidth="1"/>
    <col min="20" max="20" width="24" customWidth="1"/>
    <col min="21" max="21" width="23.83203125" customWidth="1"/>
    <col min="22" max="22" width="23.6640625" customWidth="1"/>
    <col min="23" max="23" width="24.33203125" customWidth="1"/>
    <col min="24" max="24" width="25" customWidth="1"/>
    <col min="25" max="25" width="23.5" customWidth="1"/>
    <col min="26" max="26" width="23.33203125" customWidth="1"/>
    <col min="27" max="27" width="47.33203125" customWidth="1"/>
    <col min="28" max="28" width="35.1640625" customWidth="1"/>
    <col min="29" max="30" width="35.6640625" customWidth="1"/>
    <col min="31" max="31" width="70.83203125" customWidth="1"/>
    <col min="32" max="32" width="37.83203125" customWidth="1"/>
    <col min="33" max="33" width="152.6640625" customWidth="1"/>
    <col min="34" max="34" width="24.5" customWidth="1"/>
    <col min="35" max="35" width="24" customWidth="1"/>
    <col min="36" max="36" width="24.5" customWidth="1"/>
    <col min="37" max="37" width="117.83203125" customWidth="1"/>
    <col min="38" max="38" width="151.6640625" customWidth="1"/>
    <col min="39" max="39" width="25" customWidth="1"/>
    <col min="40" max="40" width="24.33203125" customWidth="1"/>
    <col min="41" max="41" width="24" customWidth="1"/>
    <col min="42" max="42" width="118.33203125" customWidth="1"/>
    <col min="43" max="43" width="153.33203125" customWidth="1"/>
    <col min="44" max="44" width="12.5" customWidth="1"/>
    <col min="45" max="45" width="24.6640625" customWidth="1"/>
    <col min="46" max="46" width="26.1640625" customWidth="1"/>
    <col min="47" max="47" width="36.1640625" customWidth="1"/>
    <col min="48" max="48" width="12.5" customWidth="1"/>
    <col min="49" max="49" width="23.33203125" customWidth="1"/>
    <col min="50" max="50" width="24.33203125" customWidth="1"/>
    <col min="51" max="51" width="36.6640625" customWidth="1"/>
    <col min="52" max="52" width="24.83203125" customWidth="1"/>
    <col min="53" max="53" width="48.6640625" customWidth="1"/>
    <col min="54" max="54" width="47.6640625" customWidth="1"/>
    <col min="55" max="55" width="72" customWidth="1"/>
    <col min="56" max="56" width="153.83203125" customWidth="1"/>
    <col min="57" max="57" width="14.6640625" customWidth="1"/>
    <col min="58" max="58" width="23.83203125" customWidth="1"/>
    <col min="59" max="59" width="24" customWidth="1"/>
    <col min="60" max="60" width="35.83203125" customWidth="1"/>
    <col min="61" max="61" width="13.5" customWidth="1"/>
    <col min="62" max="62" width="24.1640625" customWidth="1"/>
    <col min="63" max="63" width="23.6640625" customWidth="1"/>
    <col min="64" max="64" width="36.1640625" customWidth="1"/>
    <col min="65" max="65" width="24.6640625" customWidth="1"/>
    <col min="66" max="66" width="47.83203125" customWidth="1"/>
    <col min="67" max="67" width="47.6640625" customWidth="1"/>
    <col min="68" max="68" width="71" customWidth="1"/>
  </cols>
  <sheetData>
    <row r="1" spans="1:68" s="1" customFormat="1" x14ac:dyDescent="0.2">
      <c r="A1" s="1" t="s">
        <v>195</v>
      </c>
      <c r="B1" s="1" t="s">
        <v>226</v>
      </c>
      <c r="C1" s="1" t="s">
        <v>241</v>
      </c>
      <c r="D1" s="1" t="s">
        <v>227</v>
      </c>
      <c r="E1" s="1" t="s">
        <v>242</v>
      </c>
      <c r="F1" s="1" t="s">
        <v>228</v>
      </c>
      <c r="G1" s="1" t="s">
        <v>243</v>
      </c>
      <c r="H1" s="1" t="s">
        <v>229</v>
      </c>
      <c r="I1" s="1" t="s">
        <v>244</v>
      </c>
      <c r="J1" s="1" t="s">
        <v>232</v>
      </c>
      <c r="K1" s="1" t="s">
        <v>245</v>
      </c>
      <c r="L1" s="1" t="s">
        <v>237</v>
      </c>
      <c r="M1" s="1" t="s">
        <v>246</v>
      </c>
      <c r="N1" s="1" t="s">
        <v>238</v>
      </c>
      <c r="O1" s="1" t="s">
        <v>247</v>
      </c>
      <c r="P1" s="2" t="s">
        <v>248</v>
      </c>
      <c r="Q1" s="2" t="s">
        <v>251</v>
      </c>
      <c r="R1" s="2" t="s">
        <v>252</v>
      </c>
      <c r="S1" s="1" t="s">
        <v>253</v>
      </c>
      <c r="T1" s="2" t="s">
        <v>255</v>
      </c>
      <c r="U1" s="2" t="s">
        <v>256</v>
      </c>
      <c r="V1" s="2" t="s">
        <v>259</v>
      </c>
      <c r="W1" s="1" t="s">
        <v>260</v>
      </c>
      <c r="X1" s="2" t="s">
        <v>264</v>
      </c>
      <c r="Y1" s="2" t="s">
        <v>265</v>
      </c>
      <c r="Z1" s="2" t="s">
        <v>257</v>
      </c>
      <c r="AA1" s="1" t="s">
        <v>266</v>
      </c>
      <c r="AB1" s="2" t="s">
        <v>269</v>
      </c>
      <c r="AC1" s="2" t="s">
        <v>270</v>
      </c>
      <c r="AD1" s="2" t="s">
        <v>271</v>
      </c>
      <c r="AE1" s="1" t="s">
        <v>258</v>
      </c>
      <c r="AF1" s="1" t="s">
        <v>276</v>
      </c>
      <c r="AG1" s="1" t="s">
        <v>278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340</v>
      </c>
      <c r="AM1" s="1" t="s">
        <v>341</v>
      </c>
      <c r="AN1" s="1" t="s">
        <v>342</v>
      </c>
      <c r="AO1" s="1" t="s">
        <v>343</v>
      </c>
      <c r="AP1" s="1" t="s">
        <v>344</v>
      </c>
      <c r="AQ1" s="2" t="s">
        <v>371</v>
      </c>
      <c r="AR1" s="2" t="s">
        <v>372</v>
      </c>
      <c r="AS1" s="2" t="s">
        <v>373</v>
      </c>
      <c r="AT1" s="2" t="s">
        <v>374</v>
      </c>
      <c r="AU1" s="2" t="s">
        <v>375</v>
      </c>
      <c r="AV1" s="2" t="s">
        <v>376</v>
      </c>
      <c r="AW1" s="2" t="s">
        <v>377</v>
      </c>
      <c r="AX1" s="2" t="s">
        <v>378</v>
      </c>
      <c r="AY1" s="2" t="s">
        <v>379</v>
      </c>
      <c r="AZ1" s="2" t="s">
        <v>380</v>
      </c>
      <c r="BA1" s="2" t="s">
        <v>381</v>
      </c>
      <c r="BB1" s="2" t="s">
        <v>382</v>
      </c>
      <c r="BC1" s="2" t="s">
        <v>383</v>
      </c>
      <c r="BD1" s="2" t="s">
        <v>397</v>
      </c>
      <c r="BE1" s="2" t="s">
        <v>396</v>
      </c>
      <c r="BF1" s="2" t="s">
        <v>398</v>
      </c>
      <c r="BG1" s="2" t="s">
        <v>399</v>
      </c>
      <c r="BH1" s="2" t="s">
        <v>400</v>
      </c>
      <c r="BI1" s="2" t="s">
        <v>401</v>
      </c>
      <c r="BJ1" s="2" t="s">
        <v>402</v>
      </c>
      <c r="BK1" s="2" t="s">
        <v>403</v>
      </c>
      <c r="BL1" s="2" t="s">
        <v>404</v>
      </c>
      <c r="BM1" s="2" t="s">
        <v>405</v>
      </c>
      <c r="BN1" s="2" t="s">
        <v>406</v>
      </c>
      <c r="BO1" s="2" t="s">
        <v>407</v>
      </c>
      <c r="BP1" s="2" t="s">
        <v>408</v>
      </c>
    </row>
    <row r="2" spans="1:68" x14ac:dyDescent="0.2">
      <c r="A2">
        <v>1975</v>
      </c>
      <c r="B2">
        <f>AVERAGE(F2,H2,J2,L2,N2)</f>
        <v>1108.3666666666668</v>
      </c>
      <c r="C2">
        <v>2</v>
      </c>
      <c r="E2">
        <v>1</v>
      </c>
      <c r="F2">
        <f>SegmentB!I2</f>
        <v>741.25</v>
      </c>
      <c r="G2">
        <v>1</v>
      </c>
      <c r="H2">
        <f>'Segment C'!I3</f>
        <v>868.33333333333337</v>
      </c>
      <c r="I2">
        <v>1</v>
      </c>
      <c r="J2">
        <f>SegmentD!I4</f>
        <v>1018.75</v>
      </c>
      <c r="K2">
        <v>2</v>
      </c>
      <c r="L2">
        <f>SegmentE!I48</f>
        <v>1364</v>
      </c>
      <c r="M2">
        <v>3</v>
      </c>
      <c r="N2">
        <f>SegmentF!I2</f>
        <v>1549.5</v>
      </c>
      <c r="O2">
        <v>4</v>
      </c>
      <c r="P2" t="s">
        <v>250</v>
      </c>
      <c r="Q2" t="s">
        <v>250</v>
      </c>
      <c r="R2" t="s">
        <v>250</v>
      </c>
      <c r="S2" t="s">
        <v>250</v>
      </c>
      <c r="T2" t="s">
        <v>201</v>
      </c>
      <c r="U2" t="s">
        <v>201</v>
      </c>
      <c r="V2" t="s">
        <v>201</v>
      </c>
      <c r="W2" t="s">
        <v>201</v>
      </c>
      <c r="X2" t="s">
        <v>202</v>
      </c>
      <c r="Y2" t="s">
        <v>202</v>
      </c>
      <c r="Z2" t="s">
        <v>202</v>
      </c>
      <c r="AA2" t="s">
        <v>202</v>
      </c>
      <c r="AB2" t="s">
        <v>203</v>
      </c>
      <c r="AC2" t="s">
        <v>203</v>
      </c>
      <c r="AD2" t="s">
        <v>203</v>
      </c>
      <c r="AE2" t="s">
        <v>203</v>
      </c>
      <c r="AF2" t="s">
        <v>275</v>
      </c>
    </row>
    <row r="3" spans="1:68" x14ac:dyDescent="0.2">
      <c r="A3">
        <v>1976</v>
      </c>
      <c r="B3">
        <f t="shared" ref="B3:B51" si="0">AVERAGE(F3,H3,J3,L3,N3)</f>
        <v>1108.3666666666668</v>
      </c>
      <c r="C3">
        <v>2</v>
      </c>
      <c r="E3">
        <v>1</v>
      </c>
      <c r="F3">
        <f>SegmentB!I3</f>
        <v>741.25</v>
      </c>
      <c r="G3">
        <v>1</v>
      </c>
      <c r="H3">
        <f>'Segment C'!I4</f>
        <v>868.33333333333337</v>
      </c>
      <c r="I3">
        <v>1</v>
      </c>
      <c r="J3">
        <f>SegmentD!I5</f>
        <v>1018.75</v>
      </c>
      <c r="K3">
        <v>2</v>
      </c>
      <c r="L3">
        <f>SegmentE!I49</f>
        <v>1364</v>
      </c>
      <c r="M3">
        <v>3</v>
      </c>
      <c r="N3">
        <f>SegmentF!I3</f>
        <v>1549.5</v>
      </c>
      <c r="O3">
        <v>4</v>
      </c>
      <c r="P3" t="s">
        <v>250</v>
      </c>
      <c r="Q3" t="s">
        <v>250</v>
      </c>
      <c r="R3" t="s">
        <v>250</v>
      </c>
      <c r="S3" t="s">
        <v>250</v>
      </c>
      <c r="T3" t="s">
        <v>201</v>
      </c>
      <c r="U3" t="s">
        <v>201</v>
      </c>
      <c r="V3" t="s">
        <v>201</v>
      </c>
      <c r="W3" t="s">
        <v>201</v>
      </c>
      <c r="X3" t="s">
        <v>202</v>
      </c>
      <c r="Y3" t="s">
        <v>202</v>
      </c>
      <c r="Z3" t="s">
        <v>202</v>
      </c>
      <c r="AA3" t="s">
        <v>202</v>
      </c>
      <c r="AB3" t="s">
        <v>203</v>
      </c>
      <c r="AC3" t="s">
        <v>203</v>
      </c>
      <c r="AD3" t="s">
        <v>203</v>
      </c>
      <c r="AE3" t="s">
        <v>203</v>
      </c>
    </row>
    <row r="4" spans="1:68" x14ac:dyDescent="0.2">
      <c r="A4">
        <v>1977</v>
      </c>
      <c r="B4">
        <f t="shared" si="0"/>
        <v>1108.3666666666668</v>
      </c>
      <c r="C4">
        <v>2</v>
      </c>
      <c r="E4">
        <v>1</v>
      </c>
      <c r="F4">
        <f>SegmentB!I4</f>
        <v>741.25</v>
      </c>
      <c r="G4">
        <v>1</v>
      </c>
      <c r="H4">
        <f>'Segment C'!I5</f>
        <v>868.33333333333337</v>
      </c>
      <c r="I4">
        <v>1</v>
      </c>
      <c r="J4">
        <f>SegmentD!I6</f>
        <v>1018.75</v>
      </c>
      <c r="K4">
        <v>2</v>
      </c>
      <c r="L4">
        <f>SegmentE!I50</f>
        <v>1364</v>
      </c>
      <c r="M4">
        <v>3</v>
      </c>
      <c r="N4">
        <f>SegmentF!I4</f>
        <v>1549.5</v>
      </c>
      <c r="O4">
        <v>4</v>
      </c>
      <c r="P4" t="s">
        <v>250</v>
      </c>
      <c r="Q4" t="s">
        <v>250</v>
      </c>
      <c r="R4" t="s">
        <v>250</v>
      </c>
      <c r="S4" t="s">
        <v>250</v>
      </c>
      <c r="T4" t="s">
        <v>201</v>
      </c>
      <c r="U4" t="s">
        <v>201</v>
      </c>
      <c r="V4" t="s">
        <v>201</v>
      </c>
      <c r="W4" t="s">
        <v>201</v>
      </c>
      <c r="X4" t="s">
        <v>202</v>
      </c>
      <c r="Y4" t="s">
        <v>202</v>
      </c>
      <c r="Z4" t="s">
        <v>202</v>
      </c>
      <c r="AA4" t="s">
        <v>202</v>
      </c>
      <c r="AB4" t="s">
        <v>203</v>
      </c>
      <c r="AC4" t="s">
        <v>203</v>
      </c>
      <c r="AD4" t="s">
        <v>203</v>
      </c>
      <c r="AE4" t="s">
        <v>203</v>
      </c>
    </row>
    <row r="5" spans="1:68" x14ac:dyDescent="0.2">
      <c r="A5">
        <v>1978</v>
      </c>
      <c r="B5">
        <f t="shared" si="0"/>
        <v>1108.3666666666668</v>
      </c>
      <c r="C5">
        <v>2</v>
      </c>
      <c r="E5">
        <v>1</v>
      </c>
      <c r="F5">
        <f>SegmentB!I5</f>
        <v>741.25</v>
      </c>
      <c r="G5">
        <v>1</v>
      </c>
      <c r="H5">
        <f>'Segment C'!I6</f>
        <v>868.33333333333337</v>
      </c>
      <c r="I5">
        <v>1</v>
      </c>
      <c r="J5">
        <f>SegmentD!I7</f>
        <v>1018.75</v>
      </c>
      <c r="K5">
        <v>2</v>
      </c>
      <c r="L5">
        <f>SegmentE!I51</f>
        <v>1364</v>
      </c>
      <c r="M5">
        <v>3</v>
      </c>
      <c r="N5">
        <f>SegmentF!I5</f>
        <v>1549.5</v>
      </c>
      <c r="O5">
        <v>4</v>
      </c>
      <c r="P5" t="s">
        <v>250</v>
      </c>
      <c r="Q5" t="s">
        <v>250</v>
      </c>
      <c r="R5" t="s">
        <v>250</v>
      </c>
      <c r="S5" t="s">
        <v>250</v>
      </c>
      <c r="T5" t="s">
        <v>201</v>
      </c>
      <c r="U5" t="s">
        <v>201</v>
      </c>
      <c r="V5" t="s">
        <v>201</v>
      </c>
      <c r="W5" t="s">
        <v>201</v>
      </c>
      <c r="X5" t="s">
        <v>202</v>
      </c>
      <c r="Y5" t="s">
        <v>202</v>
      </c>
      <c r="Z5" t="s">
        <v>202</v>
      </c>
      <c r="AA5" t="s">
        <v>202</v>
      </c>
      <c r="AB5" t="s">
        <v>203</v>
      </c>
      <c r="AC5" t="s">
        <v>203</v>
      </c>
      <c r="AD5" t="s">
        <v>203</v>
      </c>
      <c r="AE5" t="s">
        <v>203</v>
      </c>
    </row>
    <row r="6" spans="1:68" x14ac:dyDescent="0.2">
      <c r="A6">
        <v>1979</v>
      </c>
      <c r="B6">
        <f t="shared" si="0"/>
        <v>1108.3666666666668</v>
      </c>
      <c r="C6">
        <v>2</v>
      </c>
      <c r="E6">
        <v>1</v>
      </c>
      <c r="F6">
        <f>SegmentB!I6</f>
        <v>741.25</v>
      </c>
      <c r="G6">
        <v>1</v>
      </c>
      <c r="H6">
        <f>'Segment C'!I7</f>
        <v>868.33333333333337</v>
      </c>
      <c r="I6">
        <v>1</v>
      </c>
      <c r="J6">
        <f>SegmentD!I8</f>
        <v>1018.75</v>
      </c>
      <c r="K6">
        <v>2</v>
      </c>
      <c r="L6">
        <f>SegmentE!I52</f>
        <v>1364</v>
      </c>
      <c r="M6">
        <v>3</v>
      </c>
      <c r="N6">
        <f>SegmentF!I6</f>
        <v>1549.5</v>
      </c>
      <c r="O6">
        <v>4</v>
      </c>
      <c r="P6" t="s">
        <v>250</v>
      </c>
      <c r="Q6" t="s">
        <v>250</v>
      </c>
      <c r="R6" t="s">
        <v>250</v>
      </c>
      <c r="S6" t="s">
        <v>250</v>
      </c>
      <c r="T6" t="s">
        <v>201</v>
      </c>
      <c r="U6" t="s">
        <v>201</v>
      </c>
      <c r="V6" t="s">
        <v>201</v>
      </c>
      <c r="W6" t="s">
        <v>201</v>
      </c>
      <c r="X6" t="s">
        <v>202</v>
      </c>
      <c r="Y6" t="s">
        <v>202</v>
      </c>
      <c r="Z6" t="s">
        <v>202</v>
      </c>
      <c r="AA6" t="s">
        <v>202</v>
      </c>
      <c r="AB6" t="s">
        <v>203</v>
      </c>
      <c r="AC6" t="s">
        <v>203</v>
      </c>
      <c r="AD6" t="s">
        <v>203</v>
      </c>
      <c r="AE6" t="s">
        <v>203</v>
      </c>
    </row>
    <row r="7" spans="1:68" x14ac:dyDescent="0.2">
      <c r="A7">
        <v>1980</v>
      </c>
      <c r="B7">
        <f t="shared" si="0"/>
        <v>1113.8</v>
      </c>
      <c r="C7">
        <v>2</v>
      </c>
      <c r="E7">
        <v>1</v>
      </c>
      <c r="F7">
        <f>SegmentB!I7</f>
        <v>741.25</v>
      </c>
      <c r="G7">
        <v>1</v>
      </c>
      <c r="H7">
        <f>'Segment C'!I8</f>
        <v>872.5</v>
      </c>
      <c r="I7">
        <v>1</v>
      </c>
      <c r="J7">
        <f>SegmentD!I9</f>
        <v>1073.75</v>
      </c>
      <c r="K7">
        <v>2</v>
      </c>
      <c r="L7">
        <f>SegmentE!I53</f>
        <v>1332</v>
      </c>
      <c r="M7">
        <v>3</v>
      </c>
      <c r="N7">
        <f>SegmentF!I7</f>
        <v>1549.5</v>
      </c>
      <c r="O7">
        <v>4</v>
      </c>
      <c r="P7" t="s">
        <v>250</v>
      </c>
      <c r="Q7" t="s">
        <v>250</v>
      </c>
      <c r="R7" t="s">
        <v>250</v>
      </c>
      <c r="S7" t="s">
        <v>250</v>
      </c>
      <c r="T7" t="s">
        <v>201</v>
      </c>
      <c r="U7" t="s">
        <v>201</v>
      </c>
      <c r="V7" t="s">
        <v>201</v>
      </c>
      <c r="W7" t="s">
        <v>201</v>
      </c>
      <c r="X7" t="s">
        <v>202</v>
      </c>
      <c r="Y7" t="s">
        <v>202</v>
      </c>
      <c r="Z7" t="s">
        <v>202</v>
      </c>
      <c r="AA7" t="s">
        <v>202</v>
      </c>
      <c r="AB7" t="s">
        <v>203</v>
      </c>
      <c r="AC7" t="s">
        <v>203</v>
      </c>
      <c r="AD7" t="s">
        <v>203</v>
      </c>
      <c r="AE7" t="s">
        <v>203</v>
      </c>
    </row>
    <row r="8" spans="1:68" x14ac:dyDescent="0.2">
      <c r="A8">
        <v>1981</v>
      </c>
      <c r="B8">
        <f t="shared" si="0"/>
        <v>1122.3</v>
      </c>
      <c r="C8">
        <v>2</v>
      </c>
      <c r="E8">
        <v>1</v>
      </c>
      <c r="F8">
        <f>SegmentB!I8</f>
        <v>783.75</v>
      </c>
      <c r="G8">
        <v>1</v>
      </c>
      <c r="H8">
        <f>'Segment C'!I9</f>
        <v>872.5</v>
      </c>
      <c r="I8">
        <v>1</v>
      </c>
      <c r="J8">
        <f>SegmentD!I10</f>
        <v>1073.75</v>
      </c>
      <c r="K8">
        <v>2</v>
      </c>
      <c r="L8">
        <f>SegmentE!I54</f>
        <v>1332</v>
      </c>
      <c r="M8">
        <v>3</v>
      </c>
      <c r="N8">
        <f>SegmentF!I8</f>
        <v>1549.5</v>
      </c>
      <c r="O8">
        <v>4</v>
      </c>
      <c r="P8" t="s">
        <v>250</v>
      </c>
      <c r="Q8" t="s">
        <v>250</v>
      </c>
      <c r="R8" t="s">
        <v>250</v>
      </c>
      <c r="S8" t="s">
        <v>250</v>
      </c>
      <c r="T8" t="s">
        <v>201</v>
      </c>
      <c r="U8" t="s">
        <v>201</v>
      </c>
      <c r="V8" t="s">
        <v>201</v>
      </c>
      <c r="W8" t="s">
        <v>201</v>
      </c>
      <c r="X8" t="s">
        <v>202</v>
      </c>
      <c r="Y8" t="s">
        <v>202</v>
      </c>
      <c r="Z8" t="s">
        <v>202</v>
      </c>
      <c r="AA8" t="s">
        <v>202</v>
      </c>
      <c r="AB8" t="s">
        <v>203</v>
      </c>
      <c r="AC8" t="s">
        <v>203</v>
      </c>
      <c r="AD8" t="s">
        <v>203</v>
      </c>
      <c r="AE8" t="s">
        <v>203</v>
      </c>
    </row>
    <row r="9" spans="1:68" x14ac:dyDescent="0.2">
      <c r="A9">
        <v>1982</v>
      </c>
      <c r="B9">
        <f t="shared" si="0"/>
        <v>1144.5999999999999</v>
      </c>
      <c r="C9">
        <v>2</v>
      </c>
      <c r="E9">
        <v>1</v>
      </c>
      <c r="F9">
        <f>SegmentB!I9</f>
        <v>783.75</v>
      </c>
      <c r="G9">
        <v>1</v>
      </c>
      <c r="H9">
        <f>'Segment C'!I10</f>
        <v>872.5</v>
      </c>
      <c r="I9">
        <v>1</v>
      </c>
      <c r="J9">
        <f>SegmentD!I11</f>
        <v>1093.75</v>
      </c>
      <c r="K9">
        <v>2</v>
      </c>
      <c r="L9">
        <f>SegmentE!I55</f>
        <v>1423.5</v>
      </c>
      <c r="M9">
        <v>3</v>
      </c>
      <c r="N9">
        <f>SegmentF!I9</f>
        <v>1549.5</v>
      </c>
      <c r="O9">
        <v>4</v>
      </c>
      <c r="P9" t="s">
        <v>250</v>
      </c>
      <c r="Q9" t="s">
        <v>250</v>
      </c>
      <c r="R9" t="s">
        <v>250</v>
      </c>
      <c r="S9" t="s">
        <v>250</v>
      </c>
      <c r="T9" t="s">
        <v>201</v>
      </c>
      <c r="U9" t="s">
        <v>201</v>
      </c>
      <c r="V9" t="s">
        <v>201</v>
      </c>
      <c r="W9" t="s">
        <v>201</v>
      </c>
      <c r="X9" t="s">
        <v>202</v>
      </c>
      <c r="Y9" t="s">
        <v>202</v>
      </c>
      <c r="Z9" t="s">
        <v>202</v>
      </c>
      <c r="AA9" t="s">
        <v>202</v>
      </c>
      <c r="AB9" t="s">
        <v>203</v>
      </c>
      <c r="AC9" t="s">
        <v>203</v>
      </c>
      <c r="AD9" t="s">
        <v>203</v>
      </c>
      <c r="AE9" t="s">
        <v>203</v>
      </c>
    </row>
    <row r="10" spans="1:68" x14ac:dyDescent="0.2">
      <c r="A10">
        <v>1983</v>
      </c>
      <c r="B10">
        <f t="shared" si="0"/>
        <v>1161.2666666666669</v>
      </c>
      <c r="C10">
        <v>2</v>
      </c>
      <c r="E10">
        <v>1</v>
      </c>
      <c r="F10">
        <f>SegmentB!I10</f>
        <v>788.75</v>
      </c>
      <c r="G10">
        <v>1</v>
      </c>
      <c r="H10">
        <f>'Segment C'!I11</f>
        <v>950.83333333333337</v>
      </c>
      <c r="I10">
        <v>1</v>
      </c>
      <c r="J10">
        <f>SegmentD!I12</f>
        <v>1093.75</v>
      </c>
      <c r="K10">
        <v>2</v>
      </c>
      <c r="L10">
        <f>SegmentE!I56</f>
        <v>1423.5</v>
      </c>
      <c r="M10">
        <v>3</v>
      </c>
      <c r="N10">
        <f>SegmentF!I10</f>
        <v>1549.5</v>
      </c>
      <c r="O10">
        <v>4</v>
      </c>
      <c r="P10" t="s">
        <v>250</v>
      </c>
      <c r="Q10" t="s">
        <v>250</v>
      </c>
      <c r="R10" t="s">
        <v>250</v>
      </c>
      <c r="S10" t="s">
        <v>250</v>
      </c>
      <c r="T10" t="s">
        <v>201</v>
      </c>
      <c r="U10" t="s">
        <v>201</v>
      </c>
      <c r="V10" t="s">
        <v>201</v>
      </c>
      <c r="W10" t="s">
        <v>201</v>
      </c>
      <c r="X10" t="s">
        <v>202</v>
      </c>
      <c r="Y10" t="s">
        <v>202</v>
      </c>
      <c r="Z10" t="s">
        <v>202</v>
      </c>
      <c r="AA10" t="s">
        <v>202</v>
      </c>
      <c r="AB10" t="s">
        <v>203</v>
      </c>
      <c r="AC10" t="s">
        <v>203</v>
      </c>
      <c r="AD10" t="s">
        <v>203</v>
      </c>
      <c r="AE10" t="s">
        <v>203</v>
      </c>
    </row>
    <row r="11" spans="1:68" x14ac:dyDescent="0.2">
      <c r="A11">
        <v>1984</v>
      </c>
      <c r="B11">
        <f t="shared" si="0"/>
        <v>1161.2666666666669</v>
      </c>
      <c r="C11">
        <v>2</v>
      </c>
      <c r="E11">
        <v>1</v>
      </c>
      <c r="F11">
        <f>SegmentB!I11</f>
        <v>788.75</v>
      </c>
      <c r="G11">
        <v>1</v>
      </c>
      <c r="H11">
        <f>'Segment C'!I12</f>
        <v>950.83333333333337</v>
      </c>
      <c r="I11">
        <v>1</v>
      </c>
      <c r="J11">
        <f>SegmentD!I13</f>
        <v>1093.75</v>
      </c>
      <c r="K11">
        <v>2</v>
      </c>
      <c r="L11">
        <f>SegmentE!I57</f>
        <v>1423.5</v>
      </c>
      <c r="M11">
        <v>3</v>
      </c>
      <c r="N11">
        <f>SegmentF!I11</f>
        <v>1549.5</v>
      </c>
      <c r="O11">
        <v>4</v>
      </c>
      <c r="P11" t="s">
        <v>250</v>
      </c>
      <c r="Q11" t="s">
        <v>250</v>
      </c>
      <c r="R11" t="s">
        <v>250</v>
      </c>
      <c r="S11" t="s">
        <v>250</v>
      </c>
      <c r="T11" t="s">
        <v>201</v>
      </c>
      <c r="U11" t="s">
        <v>201</v>
      </c>
      <c r="V11" t="s">
        <v>201</v>
      </c>
      <c r="W11" t="s">
        <v>201</v>
      </c>
      <c r="X11" t="s">
        <v>202</v>
      </c>
      <c r="Y11" t="s">
        <v>202</v>
      </c>
      <c r="Z11" t="s">
        <v>202</v>
      </c>
      <c r="AA11" t="s">
        <v>202</v>
      </c>
      <c r="AB11" t="s">
        <v>203</v>
      </c>
      <c r="AC11" t="s">
        <v>203</v>
      </c>
      <c r="AD11" t="s">
        <v>203</v>
      </c>
      <c r="AE11" t="s">
        <v>203</v>
      </c>
    </row>
    <row r="12" spans="1:68" x14ac:dyDescent="0.2">
      <c r="A12">
        <v>1985</v>
      </c>
      <c r="B12">
        <f t="shared" si="0"/>
        <v>1158.2666666666669</v>
      </c>
      <c r="C12">
        <v>2</v>
      </c>
      <c r="E12">
        <v>1</v>
      </c>
      <c r="F12">
        <f>SegmentB!I12</f>
        <v>788.75</v>
      </c>
      <c r="G12">
        <v>1</v>
      </c>
      <c r="H12">
        <f>'Segment C'!I13</f>
        <v>935.83333333333337</v>
      </c>
      <c r="I12">
        <v>1</v>
      </c>
      <c r="J12">
        <f>SegmentD!I14</f>
        <v>1093.75</v>
      </c>
      <c r="K12">
        <v>2</v>
      </c>
      <c r="L12">
        <f>SegmentE!I58</f>
        <v>1423.5</v>
      </c>
      <c r="M12">
        <v>3</v>
      </c>
      <c r="N12">
        <f>SegmentF!I12</f>
        <v>1549.5</v>
      </c>
      <c r="O12">
        <v>4</v>
      </c>
      <c r="P12" t="s">
        <v>250</v>
      </c>
      <c r="Q12" t="s">
        <v>250</v>
      </c>
      <c r="R12" t="s">
        <v>250</v>
      </c>
      <c r="S12" t="s">
        <v>250</v>
      </c>
      <c r="T12" t="s">
        <v>201</v>
      </c>
      <c r="U12" t="s">
        <v>201</v>
      </c>
      <c r="V12" t="s">
        <v>201</v>
      </c>
      <c r="W12" t="s">
        <v>201</v>
      </c>
      <c r="X12" t="s">
        <v>202</v>
      </c>
      <c r="Y12" t="s">
        <v>202</v>
      </c>
      <c r="Z12" t="s">
        <v>202</v>
      </c>
      <c r="AA12" t="s">
        <v>202</v>
      </c>
      <c r="AB12" t="s">
        <v>203</v>
      </c>
      <c r="AC12" t="s">
        <v>203</v>
      </c>
      <c r="AD12" t="s">
        <v>203</v>
      </c>
      <c r="AE12" t="s">
        <v>203</v>
      </c>
    </row>
    <row r="13" spans="1:68" x14ac:dyDescent="0.2">
      <c r="A13">
        <v>1986</v>
      </c>
      <c r="B13">
        <f t="shared" si="0"/>
        <v>1182.9666666666667</v>
      </c>
      <c r="C13">
        <v>2</v>
      </c>
      <c r="E13">
        <v>1</v>
      </c>
      <c r="F13">
        <f>SegmentB!I13</f>
        <v>788.75</v>
      </c>
      <c r="G13">
        <v>1</v>
      </c>
      <c r="H13">
        <f>'Segment C'!I14</f>
        <v>935.83333333333337</v>
      </c>
      <c r="I13">
        <v>1</v>
      </c>
      <c r="J13">
        <f>SegmentD!I15</f>
        <v>1093.75</v>
      </c>
      <c r="K13">
        <v>2</v>
      </c>
      <c r="L13">
        <f>SegmentE!I59</f>
        <v>1547</v>
      </c>
      <c r="M13">
        <v>4</v>
      </c>
      <c r="N13">
        <f>SegmentF!I13</f>
        <v>1549.5</v>
      </c>
      <c r="O13">
        <v>4</v>
      </c>
      <c r="P13" t="s">
        <v>250</v>
      </c>
      <c r="Q13" t="s">
        <v>250</v>
      </c>
      <c r="R13" t="s">
        <v>250</v>
      </c>
      <c r="S13" t="s">
        <v>250</v>
      </c>
      <c r="T13" t="s">
        <v>201</v>
      </c>
      <c r="U13" t="s">
        <v>201</v>
      </c>
      <c r="V13" t="s">
        <v>201</v>
      </c>
      <c r="W13" t="s">
        <v>201</v>
      </c>
      <c r="X13" t="s">
        <v>202</v>
      </c>
      <c r="Y13" t="s">
        <v>202</v>
      </c>
      <c r="Z13" t="s">
        <v>202</v>
      </c>
      <c r="AA13" t="s">
        <v>202</v>
      </c>
      <c r="AB13" t="s">
        <v>272</v>
      </c>
      <c r="AC13" t="s">
        <v>272</v>
      </c>
      <c r="AD13" t="s">
        <v>272</v>
      </c>
      <c r="AE13" t="s">
        <v>272</v>
      </c>
    </row>
    <row r="14" spans="1:68" x14ac:dyDescent="0.2">
      <c r="A14">
        <v>1987</v>
      </c>
      <c r="B14">
        <f t="shared" si="0"/>
        <v>1238.0666666666668</v>
      </c>
      <c r="C14">
        <v>2</v>
      </c>
      <c r="E14">
        <v>1</v>
      </c>
      <c r="F14">
        <f>SegmentB!I14</f>
        <v>788.75</v>
      </c>
      <c r="G14">
        <v>1</v>
      </c>
      <c r="H14">
        <f>'Segment C'!I15</f>
        <v>935.83333333333337</v>
      </c>
      <c r="I14">
        <v>1</v>
      </c>
      <c r="J14">
        <f>SegmentD!I16</f>
        <v>1093.75</v>
      </c>
      <c r="K14">
        <v>2</v>
      </c>
      <c r="L14">
        <f>SegmentE!I60</f>
        <v>1547</v>
      </c>
      <c r="M14">
        <v>4</v>
      </c>
      <c r="N14">
        <f>SegmentF!I14</f>
        <v>1825</v>
      </c>
      <c r="O14">
        <v>4</v>
      </c>
      <c r="P14" t="s">
        <v>250</v>
      </c>
      <c r="Q14" t="s">
        <v>250</v>
      </c>
      <c r="R14" t="s">
        <v>250</v>
      </c>
      <c r="S14" t="s">
        <v>250</v>
      </c>
      <c r="T14" t="s">
        <v>201</v>
      </c>
      <c r="U14" t="s">
        <v>201</v>
      </c>
      <c r="V14" t="s">
        <v>201</v>
      </c>
      <c r="W14" t="s">
        <v>201</v>
      </c>
      <c r="X14" t="s">
        <v>202</v>
      </c>
      <c r="Y14" t="s">
        <v>202</v>
      </c>
      <c r="Z14" t="s">
        <v>202</v>
      </c>
      <c r="AA14" t="s">
        <v>202</v>
      </c>
      <c r="AB14" t="s">
        <v>272</v>
      </c>
      <c r="AC14" t="s">
        <v>272</v>
      </c>
      <c r="AD14" t="s">
        <v>272</v>
      </c>
      <c r="AE14" t="s">
        <v>272</v>
      </c>
    </row>
    <row r="15" spans="1:68" x14ac:dyDescent="0.2">
      <c r="A15">
        <v>1988</v>
      </c>
      <c r="B15">
        <f t="shared" si="0"/>
        <v>1258.3166666666668</v>
      </c>
      <c r="C15">
        <v>3</v>
      </c>
      <c r="E15">
        <v>1</v>
      </c>
      <c r="F15">
        <f>SegmentB!I15</f>
        <v>788.75</v>
      </c>
      <c r="G15">
        <v>1</v>
      </c>
      <c r="H15">
        <f>'Segment C'!I16</f>
        <v>985.83333333333337</v>
      </c>
      <c r="I15">
        <v>1</v>
      </c>
      <c r="J15">
        <f>SegmentD!I17</f>
        <v>1145</v>
      </c>
      <c r="K15">
        <v>2</v>
      </c>
      <c r="L15">
        <f>SegmentE!I61</f>
        <v>1547</v>
      </c>
      <c r="M15">
        <v>4</v>
      </c>
      <c r="N15">
        <f>SegmentF!I15</f>
        <v>1825</v>
      </c>
      <c r="O15">
        <v>4</v>
      </c>
      <c r="P15" t="s">
        <v>250</v>
      </c>
      <c r="Q15" t="s">
        <v>250</v>
      </c>
      <c r="R15" t="s">
        <v>250</v>
      </c>
      <c r="S15" t="s">
        <v>250</v>
      </c>
      <c r="T15" t="s">
        <v>201</v>
      </c>
      <c r="U15" t="s">
        <v>201</v>
      </c>
      <c r="V15" t="s">
        <v>201</v>
      </c>
      <c r="W15" t="s">
        <v>201</v>
      </c>
      <c r="X15" t="s">
        <v>202</v>
      </c>
      <c r="Y15" t="s">
        <v>202</v>
      </c>
      <c r="Z15" t="s">
        <v>202</v>
      </c>
      <c r="AA15" t="s">
        <v>202</v>
      </c>
      <c r="AB15" t="s">
        <v>272</v>
      </c>
      <c r="AC15" t="s">
        <v>272</v>
      </c>
      <c r="AD15" t="s">
        <v>272</v>
      </c>
      <c r="AE15" t="s">
        <v>272</v>
      </c>
    </row>
    <row r="16" spans="1:68" x14ac:dyDescent="0.2">
      <c r="A16">
        <v>1989</v>
      </c>
      <c r="B16">
        <f t="shared" si="0"/>
        <v>1250.1666666666667</v>
      </c>
      <c r="C16">
        <v>3</v>
      </c>
      <c r="E16">
        <v>1</v>
      </c>
      <c r="F16">
        <f>SegmentB!I16</f>
        <v>788.75</v>
      </c>
      <c r="G16">
        <v>1</v>
      </c>
      <c r="H16">
        <f>'Segment C'!I17</f>
        <v>985.83333333333337</v>
      </c>
      <c r="I16">
        <v>1</v>
      </c>
      <c r="J16">
        <f>SegmentD!I18</f>
        <v>1145</v>
      </c>
      <c r="K16">
        <v>2</v>
      </c>
      <c r="L16">
        <f>SegmentE!I62</f>
        <v>1506.25</v>
      </c>
      <c r="M16">
        <v>4</v>
      </c>
      <c r="N16">
        <f>SegmentF!I16</f>
        <v>1825</v>
      </c>
      <c r="O16">
        <v>4</v>
      </c>
      <c r="P16" t="s">
        <v>250</v>
      </c>
      <c r="Q16" t="s">
        <v>250</v>
      </c>
      <c r="R16" t="s">
        <v>250</v>
      </c>
      <c r="S16" t="s">
        <v>250</v>
      </c>
      <c r="T16" t="s">
        <v>201</v>
      </c>
      <c r="U16" t="s">
        <v>201</v>
      </c>
      <c r="V16" t="s">
        <v>201</v>
      </c>
      <c r="W16" t="s">
        <v>201</v>
      </c>
      <c r="X16" t="s">
        <v>202</v>
      </c>
      <c r="Y16" t="s">
        <v>202</v>
      </c>
      <c r="Z16" t="s">
        <v>202</v>
      </c>
      <c r="AA16" t="s">
        <v>202</v>
      </c>
      <c r="AB16" t="s">
        <v>272</v>
      </c>
      <c r="AC16" t="s">
        <v>272</v>
      </c>
      <c r="AD16" t="s">
        <v>272</v>
      </c>
      <c r="AE16" t="s">
        <v>272</v>
      </c>
    </row>
    <row r="17" spans="1:55" x14ac:dyDescent="0.2">
      <c r="A17">
        <v>1990</v>
      </c>
      <c r="B17">
        <f t="shared" si="0"/>
        <v>1271.7166666666667</v>
      </c>
      <c r="C17">
        <v>3</v>
      </c>
      <c r="E17">
        <v>1</v>
      </c>
      <c r="F17">
        <f>SegmentB!I17</f>
        <v>896.5</v>
      </c>
      <c r="G17">
        <v>1</v>
      </c>
      <c r="H17">
        <f>'Segment C'!I18</f>
        <v>985.83333333333337</v>
      </c>
      <c r="I17">
        <v>1</v>
      </c>
      <c r="J17">
        <f>SegmentD!I19</f>
        <v>1145</v>
      </c>
      <c r="K17">
        <v>2</v>
      </c>
      <c r="L17">
        <f>SegmentE!I63</f>
        <v>1506.25</v>
      </c>
      <c r="M17">
        <v>4</v>
      </c>
      <c r="N17">
        <f>SegmentF!I17</f>
        <v>1825</v>
      </c>
      <c r="O17">
        <v>4</v>
      </c>
      <c r="P17" t="s">
        <v>250</v>
      </c>
      <c r="Q17" t="s">
        <v>250</v>
      </c>
      <c r="R17" t="s">
        <v>250</v>
      </c>
      <c r="S17" t="s">
        <v>250</v>
      </c>
      <c r="T17" t="s">
        <v>201</v>
      </c>
      <c r="U17" t="s">
        <v>201</v>
      </c>
      <c r="V17" t="s">
        <v>201</v>
      </c>
      <c r="W17" t="s">
        <v>201</v>
      </c>
      <c r="X17" t="s">
        <v>202</v>
      </c>
      <c r="Y17" t="s">
        <v>202</v>
      </c>
      <c r="Z17" t="s">
        <v>202</v>
      </c>
      <c r="AA17" t="s">
        <v>202</v>
      </c>
      <c r="AB17" t="s">
        <v>272</v>
      </c>
      <c r="AC17" t="s">
        <v>272</v>
      </c>
      <c r="AD17" t="s">
        <v>272</v>
      </c>
      <c r="AE17" t="s">
        <v>272</v>
      </c>
    </row>
    <row r="18" spans="1:55" x14ac:dyDescent="0.2">
      <c r="A18">
        <v>1991</v>
      </c>
      <c r="B18">
        <f t="shared" si="0"/>
        <v>1282.7166666666667</v>
      </c>
      <c r="C18">
        <v>3</v>
      </c>
      <c r="E18">
        <v>1</v>
      </c>
      <c r="F18">
        <f>SegmentB!I18</f>
        <v>896.5</v>
      </c>
      <c r="G18">
        <v>1</v>
      </c>
      <c r="H18">
        <f>'Segment C'!I19</f>
        <v>1040.8333333333333</v>
      </c>
      <c r="I18">
        <v>2</v>
      </c>
      <c r="J18">
        <f>SegmentD!I20</f>
        <v>1145</v>
      </c>
      <c r="K18">
        <v>2</v>
      </c>
      <c r="L18">
        <f>SegmentE!I64</f>
        <v>1506.25</v>
      </c>
      <c r="M18">
        <v>4</v>
      </c>
      <c r="N18">
        <f>SegmentF!I18</f>
        <v>1825</v>
      </c>
      <c r="O18">
        <v>4</v>
      </c>
      <c r="P18" t="s">
        <v>249</v>
      </c>
      <c r="Q18" t="s">
        <v>249</v>
      </c>
      <c r="R18" t="s">
        <v>249</v>
      </c>
      <c r="S18" t="s">
        <v>249</v>
      </c>
      <c r="T18" t="s">
        <v>261</v>
      </c>
      <c r="U18" t="s">
        <v>261</v>
      </c>
      <c r="V18" t="s">
        <v>261</v>
      </c>
      <c r="W18" t="s">
        <v>261</v>
      </c>
      <c r="X18" t="s">
        <v>202</v>
      </c>
      <c r="Y18" t="s">
        <v>202</v>
      </c>
      <c r="Z18" t="s">
        <v>202</v>
      </c>
      <c r="AA18" t="s">
        <v>202</v>
      </c>
      <c r="AB18" t="s">
        <v>272</v>
      </c>
      <c r="AC18" t="s">
        <v>272</v>
      </c>
      <c r="AD18" t="s">
        <v>272</v>
      </c>
      <c r="AE18" t="s">
        <v>272</v>
      </c>
    </row>
    <row r="19" spans="1:55" x14ac:dyDescent="0.2">
      <c r="A19">
        <v>1992</v>
      </c>
      <c r="B19">
        <f t="shared" si="0"/>
        <v>1282.7166666666667</v>
      </c>
      <c r="C19">
        <v>3</v>
      </c>
      <c r="E19">
        <v>1</v>
      </c>
      <c r="F19">
        <f>SegmentB!I19</f>
        <v>896.5</v>
      </c>
      <c r="G19">
        <v>1</v>
      </c>
      <c r="H19">
        <f>'Segment C'!I20</f>
        <v>1040.8333333333333</v>
      </c>
      <c r="I19">
        <v>2</v>
      </c>
      <c r="J19">
        <f>SegmentD!I21</f>
        <v>1145</v>
      </c>
      <c r="K19">
        <v>2</v>
      </c>
      <c r="L19">
        <f>SegmentE!I65</f>
        <v>1506.25</v>
      </c>
      <c r="M19">
        <v>4</v>
      </c>
      <c r="N19">
        <f>SegmentF!I19</f>
        <v>1825</v>
      </c>
      <c r="O19">
        <v>4</v>
      </c>
      <c r="P19" t="s">
        <v>249</v>
      </c>
      <c r="Q19" t="s">
        <v>249</v>
      </c>
      <c r="R19" t="s">
        <v>249</v>
      </c>
      <c r="S19" t="s">
        <v>249</v>
      </c>
      <c r="T19" t="s">
        <v>261</v>
      </c>
      <c r="U19" t="s">
        <v>261</v>
      </c>
      <c r="V19" t="s">
        <v>261</v>
      </c>
      <c r="W19" t="s">
        <v>261</v>
      </c>
      <c r="X19" t="s">
        <v>202</v>
      </c>
      <c r="Y19" t="s">
        <v>202</v>
      </c>
      <c r="Z19" t="s">
        <v>202</v>
      </c>
      <c r="AA19" t="s">
        <v>202</v>
      </c>
      <c r="AB19" t="s">
        <v>272</v>
      </c>
      <c r="AC19" t="s">
        <v>272</v>
      </c>
      <c r="AD19" t="s">
        <v>272</v>
      </c>
      <c r="AE19" t="s">
        <v>272</v>
      </c>
    </row>
    <row r="20" spans="1:55" x14ac:dyDescent="0.2">
      <c r="A20">
        <v>1993</v>
      </c>
      <c r="B20">
        <f t="shared" si="0"/>
        <v>1319.8833333333332</v>
      </c>
      <c r="C20">
        <v>3</v>
      </c>
      <c r="E20">
        <v>1</v>
      </c>
      <c r="F20">
        <f>SegmentB!I20</f>
        <v>896.5</v>
      </c>
      <c r="G20">
        <v>1</v>
      </c>
      <c r="H20">
        <f>'Segment C'!I21</f>
        <v>1130.8333333333333</v>
      </c>
      <c r="I20">
        <v>2</v>
      </c>
      <c r="J20">
        <f>SegmentD!I22</f>
        <v>1240.8333333333333</v>
      </c>
      <c r="K20">
        <v>2</v>
      </c>
      <c r="L20">
        <f>SegmentE!I66</f>
        <v>1506.25</v>
      </c>
      <c r="M20">
        <v>4</v>
      </c>
      <c r="N20">
        <f>SegmentF!I20</f>
        <v>1825</v>
      </c>
      <c r="O20">
        <v>4</v>
      </c>
      <c r="P20" t="s">
        <v>249</v>
      </c>
      <c r="Q20" t="s">
        <v>249</v>
      </c>
      <c r="R20" t="s">
        <v>249</v>
      </c>
      <c r="S20" t="s">
        <v>249</v>
      </c>
      <c r="T20" t="s">
        <v>261</v>
      </c>
      <c r="U20" t="s">
        <v>261</v>
      </c>
      <c r="V20" t="s">
        <v>261</v>
      </c>
      <c r="W20" t="s">
        <v>261</v>
      </c>
      <c r="X20" t="s">
        <v>202</v>
      </c>
      <c r="Y20" t="s">
        <v>202</v>
      </c>
      <c r="Z20" t="s">
        <v>202</v>
      </c>
      <c r="AA20" t="s">
        <v>202</v>
      </c>
      <c r="AB20" t="s">
        <v>272</v>
      </c>
      <c r="AC20" t="s">
        <v>272</v>
      </c>
      <c r="AD20" t="s">
        <v>272</v>
      </c>
      <c r="AE20" t="s">
        <v>272</v>
      </c>
    </row>
    <row r="21" spans="1:55" x14ac:dyDescent="0.2">
      <c r="A21">
        <v>1994</v>
      </c>
      <c r="B21">
        <f t="shared" si="0"/>
        <v>1319.8833333333332</v>
      </c>
      <c r="C21">
        <v>3</v>
      </c>
      <c r="E21">
        <v>1</v>
      </c>
      <c r="F21">
        <f>SegmentB!I21</f>
        <v>896.5</v>
      </c>
      <c r="G21">
        <v>1</v>
      </c>
      <c r="H21">
        <f>'Segment C'!I22</f>
        <v>1130.8333333333333</v>
      </c>
      <c r="I21">
        <v>2</v>
      </c>
      <c r="J21">
        <f>SegmentD!I23</f>
        <v>1240.8333333333333</v>
      </c>
      <c r="K21">
        <v>2</v>
      </c>
      <c r="L21">
        <f>SegmentE!I67</f>
        <v>1506.25</v>
      </c>
      <c r="M21">
        <v>4</v>
      </c>
      <c r="N21">
        <f>SegmentF!I21</f>
        <v>1825</v>
      </c>
      <c r="O21">
        <v>4</v>
      </c>
      <c r="P21" t="s">
        <v>249</v>
      </c>
      <c r="Q21" t="s">
        <v>249</v>
      </c>
      <c r="R21" t="s">
        <v>249</v>
      </c>
      <c r="S21" t="s">
        <v>249</v>
      </c>
      <c r="T21" t="s">
        <v>261</v>
      </c>
      <c r="U21" t="s">
        <v>261</v>
      </c>
      <c r="V21" t="s">
        <v>261</v>
      </c>
      <c r="W21" t="s">
        <v>261</v>
      </c>
      <c r="X21" t="s">
        <v>202</v>
      </c>
      <c r="Y21" t="s">
        <v>202</v>
      </c>
      <c r="Z21" t="s">
        <v>202</v>
      </c>
      <c r="AA21" t="s">
        <v>202</v>
      </c>
      <c r="AB21" t="s">
        <v>272</v>
      </c>
      <c r="AC21" t="s">
        <v>272</v>
      </c>
      <c r="AD21" t="s">
        <v>272</v>
      </c>
      <c r="AE21" t="s">
        <v>272</v>
      </c>
    </row>
    <row r="22" spans="1:55" x14ac:dyDescent="0.2">
      <c r="A22">
        <v>1995</v>
      </c>
      <c r="B22">
        <f t="shared" si="0"/>
        <v>1340.2166666666667</v>
      </c>
      <c r="C22">
        <v>3</v>
      </c>
      <c r="E22">
        <v>1</v>
      </c>
      <c r="F22">
        <f>SegmentB!I22</f>
        <v>896.5</v>
      </c>
      <c r="G22">
        <v>1</v>
      </c>
      <c r="H22">
        <f>'Segment C'!I23</f>
        <v>1160</v>
      </c>
      <c r="I22">
        <v>2</v>
      </c>
      <c r="J22">
        <f>SegmentD!I24</f>
        <v>1240.8333333333333</v>
      </c>
      <c r="K22">
        <v>2</v>
      </c>
      <c r="L22">
        <f>SegmentE!I68</f>
        <v>1506.25</v>
      </c>
      <c r="M22">
        <v>4</v>
      </c>
      <c r="N22">
        <f>SegmentF!I22</f>
        <v>1897.5</v>
      </c>
      <c r="O22">
        <v>4</v>
      </c>
      <c r="P22" t="s">
        <v>249</v>
      </c>
      <c r="Q22" t="s">
        <v>249</v>
      </c>
      <c r="R22" t="s">
        <v>249</v>
      </c>
      <c r="S22" t="s">
        <v>249</v>
      </c>
      <c r="T22" t="s">
        <v>200</v>
      </c>
      <c r="U22" t="s">
        <v>200</v>
      </c>
      <c r="V22" t="s">
        <v>200</v>
      </c>
      <c r="W22" t="s">
        <v>200</v>
      </c>
      <c r="X22" t="s">
        <v>202</v>
      </c>
      <c r="Y22" t="s">
        <v>202</v>
      </c>
      <c r="Z22" t="s">
        <v>202</v>
      </c>
      <c r="AA22" t="s">
        <v>202</v>
      </c>
      <c r="AB22" t="s">
        <v>272</v>
      </c>
      <c r="AC22" t="s">
        <v>272</v>
      </c>
      <c r="AD22" t="s">
        <v>272</v>
      </c>
      <c r="AE22" t="s">
        <v>272</v>
      </c>
    </row>
    <row r="23" spans="1:55" x14ac:dyDescent="0.2">
      <c r="A23">
        <v>1996</v>
      </c>
      <c r="B23">
        <f t="shared" si="0"/>
        <v>1378.0833333333335</v>
      </c>
      <c r="C23">
        <v>3</v>
      </c>
      <c r="E23">
        <v>1</v>
      </c>
      <c r="F23">
        <f>SegmentB!I23</f>
        <v>896.5</v>
      </c>
      <c r="G23">
        <v>1</v>
      </c>
      <c r="H23">
        <f>'Segment C'!I24</f>
        <v>1160</v>
      </c>
      <c r="I23">
        <v>2</v>
      </c>
      <c r="J23">
        <f>SegmentD!I25</f>
        <v>1357.6666666666667</v>
      </c>
      <c r="K23">
        <v>3</v>
      </c>
      <c r="L23">
        <f>SegmentE!I69</f>
        <v>1578.75</v>
      </c>
      <c r="M23">
        <v>4</v>
      </c>
      <c r="N23">
        <f>SegmentF!I23</f>
        <v>1897.5</v>
      </c>
      <c r="O23">
        <v>4</v>
      </c>
      <c r="P23" t="s">
        <v>249</v>
      </c>
      <c r="Q23" t="s">
        <v>249</v>
      </c>
      <c r="R23" t="s">
        <v>249</v>
      </c>
      <c r="S23" t="s">
        <v>249</v>
      </c>
      <c r="T23" t="s">
        <v>200</v>
      </c>
      <c r="U23" t="s">
        <v>200</v>
      </c>
      <c r="V23" t="s">
        <v>200</v>
      </c>
      <c r="W23" t="s">
        <v>200</v>
      </c>
      <c r="X23" t="s">
        <v>201</v>
      </c>
      <c r="Y23" t="s">
        <v>201</v>
      </c>
      <c r="Z23" t="s">
        <v>201</v>
      </c>
      <c r="AA23" t="s">
        <v>201</v>
      </c>
      <c r="AB23" t="s">
        <v>272</v>
      </c>
      <c r="AC23" t="s">
        <v>272</v>
      </c>
      <c r="AD23" t="s">
        <v>272</v>
      </c>
      <c r="AE23" t="s">
        <v>272</v>
      </c>
    </row>
    <row r="24" spans="1:55" x14ac:dyDescent="0.2">
      <c r="A24">
        <v>1997</v>
      </c>
      <c r="B24">
        <f t="shared" si="0"/>
        <v>1384.3166666666668</v>
      </c>
      <c r="C24">
        <v>3</v>
      </c>
      <c r="E24">
        <v>1</v>
      </c>
      <c r="F24">
        <f>SegmentB!I24</f>
        <v>896.5</v>
      </c>
      <c r="G24">
        <v>1</v>
      </c>
      <c r="H24">
        <f>'Segment C'!I25</f>
        <v>1191.1666666666667</v>
      </c>
      <c r="I24">
        <v>2</v>
      </c>
      <c r="J24">
        <f>SegmentD!I26</f>
        <v>1357.6666666666667</v>
      </c>
      <c r="K24">
        <v>3</v>
      </c>
      <c r="L24">
        <f>SegmentE!I70</f>
        <v>1578.75</v>
      </c>
      <c r="M24">
        <v>4</v>
      </c>
      <c r="N24">
        <f>SegmentF!I24</f>
        <v>1897.5</v>
      </c>
      <c r="O24">
        <v>4</v>
      </c>
      <c r="P24" t="s">
        <v>249</v>
      </c>
      <c r="Q24" t="s">
        <v>249</v>
      </c>
      <c r="R24" t="s">
        <v>249</v>
      </c>
      <c r="S24" t="s">
        <v>249</v>
      </c>
      <c r="T24" t="s">
        <v>200</v>
      </c>
      <c r="U24" t="s">
        <v>200</v>
      </c>
      <c r="V24" t="s">
        <v>200</v>
      </c>
      <c r="W24" t="s">
        <v>200</v>
      </c>
      <c r="X24" t="s">
        <v>201</v>
      </c>
      <c r="Y24" t="s">
        <v>201</v>
      </c>
      <c r="Z24" t="s">
        <v>201</v>
      </c>
      <c r="AA24" t="s">
        <v>201</v>
      </c>
      <c r="AB24" t="s">
        <v>272</v>
      </c>
      <c r="AC24" t="s">
        <v>272</v>
      </c>
      <c r="AD24" t="s">
        <v>272</v>
      </c>
      <c r="AE24" t="s">
        <v>272</v>
      </c>
    </row>
    <row r="25" spans="1:55" x14ac:dyDescent="0.2">
      <c r="A25">
        <v>1998</v>
      </c>
      <c r="B25">
        <f t="shared" si="0"/>
        <v>1417.8166666666668</v>
      </c>
      <c r="C25">
        <v>3</v>
      </c>
      <c r="E25">
        <v>1</v>
      </c>
      <c r="F25">
        <f>SegmentB!I25</f>
        <v>1064</v>
      </c>
      <c r="G25">
        <v>2</v>
      </c>
      <c r="H25">
        <f>'Segment C'!I26</f>
        <v>1191.1666666666667</v>
      </c>
      <c r="I25">
        <v>2</v>
      </c>
      <c r="J25">
        <f>SegmentD!I27</f>
        <v>1357.6666666666667</v>
      </c>
      <c r="K25">
        <v>3</v>
      </c>
      <c r="L25">
        <f>SegmentE!I71</f>
        <v>1578.75</v>
      </c>
      <c r="M25">
        <v>4</v>
      </c>
      <c r="N25">
        <f>SegmentF!I25</f>
        <v>1897.5</v>
      </c>
      <c r="O25">
        <v>4</v>
      </c>
      <c r="P25" t="s">
        <v>198</v>
      </c>
      <c r="Q25" t="s">
        <v>198</v>
      </c>
      <c r="R25" t="s">
        <v>198</v>
      </c>
      <c r="S25" t="s">
        <v>277</v>
      </c>
      <c r="T25" t="s">
        <v>262</v>
      </c>
      <c r="U25" t="s">
        <v>262</v>
      </c>
      <c r="V25" t="s">
        <v>262</v>
      </c>
      <c r="W25" t="s">
        <v>262</v>
      </c>
      <c r="X25" t="s">
        <v>201</v>
      </c>
      <c r="Y25" t="s">
        <v>201</v>
      </c>
      <c r="Z25" t="s">
        <v>201</v>
      </c>
      <c r="AA25" t="s">
        <v>201</v>
      </c>
      <c r="AB25" t="s">
        <v>272</v>
      </c>
      <c r="AC25" t="s">
        <v>272</v>
      </c>
      <c r="AD25" t="s">
        <v>272</v>
      </c>
      <c r="AE25" t="s">
        <v>272</v>
      </c>
      <c r="AQ25" t="s">
        <v>384</v>
      </c>
      <c r="AR25" t="s">
        <v>359</v>
      </c>
      <c r="AS25" t="s">
        <v>386</v>
      </c>
      <c r="AT25" t="s">
        <v>362</v>
      </c>
      <c r="AU25" t="s">
        <v>390</v>
      </c>
      <c r="AV25" t="s">
        <v>359</v>
      </c>
      <c r="AW25" t="s">
        <v>386</v>
      </c>
      <c r="AX25" t="s">
        <v>362</v>
      </c>
      <c r="AY25" t="s">
        <v>390</v>
      </c>
      <c r="AZ25" t="s">
        <v>359</v>
      </c>
      <c r="BA25" t="s">
        <v>386</v>
      </c>
      <c r="BB25" t="s">
        <v>389</v>
      </c>
      <c r="BC25" t="s">
        <v>392</v>
      </c>
    </row>
    <row r="26" spans="1:55" x14ac:dyDescent="0.2">
      <c r="A26">
        <v>1999</v>
      </c>
      <c r="B26">
        <f t="shared" si="0"/>
        <v>1435.1</v>
      </c>
      <c r="C26">
        <v>3</v>
      </c>
      <c r="E26">
        <v>1</v>
      </c>
      <c r="F26">
        <f>SegmentB!I26</f>
        <v>1101.25</v>
      </c>
      <c r="G26">
        <v>2</v>
      </c>
      <c r="H26">
        <f>'Segment C'!I27</f>
        <v>1180.3333333333333</v>
      </c>
      <c r="I26">
        <v>2</v>
      </c>
      <c r="J26">
        <f>SegmentD!I28</f>
        <v>1417.6666666666667</v>
      </c>
      <c r="K26">
        <v>3</v>
      </c>
      <c r="L26">
        <f>SegmentE!I72</f>
        <v>1578.75</v>
      </c>
      <c r="M26">
        <v>4</v>
      </c>
      <c r="N26">
        <f>SegmentF!I26</f>
        <v>1897.5</v>
      </c>
      <c r="O26">
        <v>4</v>
      </c>
      <c r="P26" t="s">
        <v>198</v>
      </c>
      <c r="Q26" t="s">
        <v>198</v>
      </c>
      <c r="R26" t="s">
        <v>198</v>
      </c>
      <c r="S26" t="s">
        <v>198</v>
      </c>
      <c r="T26" t="s">
        <v>262</v>
      </c>
      <c r="U26" t="s">
        <v>262</v>
      </c>
      <c r="V26" t="s">
        <v>262</v>
      </c>
      <c r="W26" t="s">
        <v>262</v>
      </c>
      <c r="X26" t="s">
        <v>201</v>
      </c>
      <c r="Y26" t="s">
        <v>201</v>
      </c>
      <c r="Z26" t="s">
        <v>201</v>
      </c>
      <c r="AA26" t="s">
        <v>201</v>
      </c>
      <c r="AB26" t="s">
        <v>272</v>
      </c>
      <c r="AC26" t="s">
        <v>272</v>
      </c>
      <c r="AD26" t="s">
        <v>272</v>
      </c>
      <c r="AE26" t="s">
        <v>272</v>
      </c>
      <c r="AQ26" t="s">
        <v>384</v>
      </c>
      <c r="AR26" t="s">
        <v>359</v>
      </c>
      <c r="AS26" t="s">
        <v>386</v>
      </c>
      <c r="AT26" t="s">
        <v>362</v>
      </c>
      <c r="AU26" t="s">
        <v>390</v>
      </c>
      <c r="AV26" t="s">
        <v>359</v>
      </c>
      <c r="AW26" t="s">
        <v>386</v>
      </c>
      <c r="AX26" t="s">
        <v>362</v>
      </c>
      <c r="AY26" t="s">
        <v>390</v>
      </c>
      <c r="AZ26" t="s">
        <v>359</v>
      </c>
      <c r="BA26" t="s">
        <v>386</v>
      </c>
      <c r="BB26" t="s">
        <v>389</v>
      </c>
      <c r="BC26" t="s">
        <v>392</v>
      </c>
    </row>
    <row r="27" spans="1:55" x14ac:dyDescent="0.2">
      <c r="A27">
        <v>2000</v>
      </c>
      <c r="B27">
        <f t="shared" si="0"/>
        <v>1466.25</v>
      </c>
      <c r="C27">
        <v>3</v>
      </c>
      <c r="E27">
        <v>1</v>
      </c>
      <c r="F27">
        <f>SegmentB!I27</f>
        <v>1101.25</v>
      </c>
      <c r="G27">
        <v>2</v>
      </c>
      <c r="H27">
        <f>'Segment C'!I28</f>
        <v>1180.3333333333333</v>
      </c>
      <c r="I27">
        <v>2</v>
      </c>
      <c r="J27">
        <f>SegmentD!I29</f>
        <v>1417.6666666666667</v>
      </c>
      <c r="K27">
        <v>3</v>
      </c>
      <c r="L27">
        <f>SegmentE!I73</f>
        <v>1734.5</v>
      </c>
      <c r="M27">
        <v>4</v>
      </c>
      <c r="N27">
        <f>SegmentF!I27</f>
        <v>1897.5</v>
      </c>
      <c r="O27">
        <v>4</v>
      </c>
      <c r="P27" t="s">
        <v>198</v>
      </c>
      <c r="Q27" t="s">
        <v>198</v>
      </c>
      <c r="R27" t="s">
        <v>198</v>
      </c>
      <c r="S27" t="s">
        <v>198</v>
      </c>
      <c r="T27" t="s">
        <v>262</v>
      </c>
      <c r="U27" t="s">
        <v>262</v>
      </c>
      <c r="V27" t="s">
        <v>262</v>
      </c>
      <c r="W27" t="s">
        <v>262</v>
      </c>
      <c r="X27" t="s">
        <v>201</v>
      </c>
      <c r="Y27" t="s">
        <v>201</v>
      </c>
      <c r="Z27" t="s">
        <v>201</v>
      </c>
      <c r="AA27" t="s">
        <v>201</v>
      </c>
      <c r="AB27" t="s">
        <v>272</v>
      </c>
      <c r="AC27" t="s">
        <v>272</v>
      </c>
      <c r="AD27" t="s">
        <v>272</v>
      </c>
      <c r="AE27" t="s">
        <v>272</v>
      </c>
      <c r="AQ27" t="s">
        <v>384</v>
      </c>
      <c r="AR27" t="s">
        <v>359</v>
      </c>
      <c r="AS27" t="s">
        <v>386</v>
      </c>
      <c r="AT27" t="s">
        <v>362</v>
      </c>
      <c r="AU27" t="s">
        <v>390</v>
      </c>
      <c r="AV27" t="s">
        <v>359</v>
      </c>
      <c r="AW27" t="s">
        <v>386</v>
      </c>
      <c r="AX27" t="s">
        <v>362</v>
      </c>
      <c r="AY27" t="s">
        <v>390</v>
      </c>
      <c r="AZ27" t="s">
        <v>359</v>
      </c>
      <c r="BA27" t="s">
        <v>386</v>
      </c>
      <c r="BB27" t="s">
        <v>389</v>
      </c>
      <c r="BC27" t="s">
        <v>392</v>
      </c>
    </row>
    <row r="28" spans="1:55" x14ac:dyDescent="0.2">
      <c r="A28">
        <v>2001</v>
      </c>
      <c r="B28">
        <f t="shared" si="0"/>
        <v>1486.65</v>
      </c>
      <c r="C28">
        <v>3</v>
      </c>
      <c r="E28">
        <v>1</v>
      </c>
      <c r="F28">
        <f>SegmentB!I28</f>
        <v>1101.25</v>
      </c>
      <c r="G28">
        <v>2</v>
      </c>
      <c r="H28">
        <f>'Segment C'!I29</f>
        <v>1304.8333333333333</v>
      </c>
      <c r="I28">
        <v>3</v>
      </c>
      <c r="J28">
        <f>SegmentD!I30</f>
        <v>1417.6666666666667</v>
      </c>
      <c r="K28">
        <v>3</v>
      </c>
      <c r="L28">
        <f>SegmentE!I74</f>
        <v>1734.5</v>
      </c>
      <c r="M28">
        <v>4</v>
      </c>
      <c r="N28">
        <f>SegmentF!I28</f>
        <v>1875</v>
      </c>
      <c r="O28">
        <v>4</v>
      </c>
      <c r="P28" t="s">
        <v>198</v>
      </c>
      <c r="Q28" t="s">
        <v>198</v>
      </c>
      <c r="R28" t="s">
        <v>198</v>
      </c>
      <c r="S28" t="s">
        <v>198</v>
      </c>
      <c r="T28" t="s">
        <v>199</v>
      </c>
      <c r="U28" t="s">
        <v>199</v>
      </c>
      <c r="V28" t="s">
        <v>199</v>
      </c>
      <c r="W28" t="s">
        <v>199</v>
      </c>
      <c r="X28" t="s">
        <v>261</v>
      </c>
      <c r="Y28" t="s">
        <v>261</v>
      </c>
      <c r="Z28" t="s">
        <v>261</v>
      </c>
      <c r="AA28" t="s">
        <v>261</v>
      </c>
      <c r="AB28" t="s">
        <v>272</v>
      </c>
      <c r="AC28" t="s">
        <v>272</v>
      </c>
      <c r="AD28" t="s">
        <v>272</v>
      </c>
      <c r="AE28" t="s">
        <v>272</v>
      </c>
      <c r="AQ28" t="s">
        <v>384</v>
      </c>
      <c r="AR28" t="s">
        <v>359</v>
      </c>
      <c r="AS28" t="s">
        <v>386</v>
      </c>
      <c r="AT28" t="s">
        <v>362</v>
      </c>
      <c r="AU28" t="s">
        <v>390</v>
      </c>
      <c r="AV28" t="s">
        <v>359</v>
      </c>
      <c r="AW28" t="s">
        <v>386</v>
      </c>
      <c r="AX28" t="s">
        <v>362</v>
      </c>
      <c r="AY28" t="s">
        <v>390</v>
      </c>
      <c r="AZ28" t="s">
        <v>359</v>
      </c>
      <c r="BA28" t="s">
        <v>386</v>
      </c>
      <c r="BB28" t="s">
        <v>389</v>
      </c>
      <c r="BC28" t="s">
        <v>392</v>
      </c>
    </row>
    <row r="29" spans="1:55" x14ac:dyDescent="0.2">
      <c r="A29">
        <v>2002</v>
      </c>
      <c r="B29">
        <f t="shared" si="0"/>
        <v>1486.65</v>
      </c>
      <c r="C29">
        <v>3</v>
      </c>
      <c r="E29">
        <v>1</v>
      </c>
      <c r="F29">
        <f>SegmentB!I29</f>
        <v>1101.25</v>
      </c>
      <c r="G29">
        <v>2</v>
      </c>
      <c r="H29">
        <f>'Segment C'!I30</f>
        <v>1304.8333333333333</v>
      </c>
      <c r="I29">
        <v>3</v>
      </c>
      <c r="J29">
        <f>SegmentD!I31</f>
        <v>1417.6666666666667</v>
      </c>
      <c r="K29">
        <v>3</v>
      </c>
      <c r="L29">
        <f>SegmentE!I75</f>
        <v>1734.5</v>
      </c>
      <c r="M29">
        <v>4</v>
      </c>
      <c r="N29">
        <f>SegmentF!I29</f>
        <v>1875</v>
      </c>
      <c r="O29">
        <v>4</v>
      </c>
      <c r="P29" t="s">
        <v>198</v>
      </c>
      <c r="Q29" t="s">
        <v>198</v>
      </c>
      <c r="R29" t="s">
        <v>198</v>
      </c>
      <c r="S29" t="s">
        <v>198</v>
      </c>
      <c r="T29" t="s">
        <v>199</v>
      </c>
      <c r="U29" t="s">
        <v>199</v>
      </c>
      <c r="V29" t="s">
        <v>199</v>
      </c>
      <c r="W29" t="s">
        <v>199</v>
      </c>
      <c r="X29" t="s">
        <v>261</v>
      </c>
      <c r="Y29" t="s">
        <v>261</v>
      </c>
      <c r="Z29" t="s">
        <v>261</v>
      </c>
      <c r="AA29" t="s">
        <v>261</v>
      </c>
      <c r="AB29" t="s">
        <v>272</v>
      </c>
      <c r="AC29" t="s">
        <v>272</v>
      </c>
      <c r="AD29" t="s">
        <v>272</v>
      </c>
      <c r="AE29" t="s">
        <v>272</v>
      </c>
      <c r="AQ29" t="s">
        <v>384</v>
      </c>
      <c r="AR29" t="s">
        <v>359</v>
      </c>
      <c r="AS29" t="s">
        <v>386</v>
      </c>
      <c r="AT29" t="s">
        <v>362</v>
      </c>
      <c r="AU29" t="s">
        <v>390</v>
      </c>
      <c r="AV29" t="s">
        <v>359</v>
      </c>
      <c r="AW29" t="s">
        <v>386</v>
      </c>
      <c r="AX29" t="s">
        <v>362</v>
      </c>
      <c r="AY29" t="s">
        <v>390</v>
      </c>
      <c r="AZ29" t="s">
        <v>359</v>
      </c>
      <c r="BA29" t="s">
        <v>386</v>
      </c>
      <c r="BB29" t="s">
        <v>389</v>
      </c>
      <c r="BC29" t="s">
        <v>392</v>
      </c>
    </row>
    <row r="30" spans="1:55" x14ac:dyDescent="0.2">
      <c r="A30">
        <v>2003</v>
      </c>
      <c r="B30">
        <f t="shared" si="0"/>
        <v>1493.9166666666667</v>
      </c>
      <c r="C30">
        <v>3</v>
      </c>
      <c r="E30">
        <v>1</v>
      </c>
      <c r="F30">
        <f>SegmentB!I30</f>
        <v>1101.25</v>
      </c>
      <c r="G30">
        <v>2</v>
      </c>
      <c r="H30">
        <f>'Segment C'!I31</f>
        <v>1341.1666666666667</v>
      </c>
      <c r="I30">
        <v>3</v>
      </c>
      <c r="J30">
        <f>SegmentD!I32</f>
        <v>1417.6666666666667</v>
      </c>
      <c r="K30">
        <v>3</v>
      </c>
      <c r="L30">
        <f>SegmentE!I76</f>
        <v>1734.5</v>
      </c>
      <c r="M30">
        <v>4</v>
      </c>
      <c r="N30">
        <f>SegmentF!I30</f>
        <v>1875</v>
      </c>
      <c r="O30">
        <v>4</v>
      </c>
      <c r="P30" t="s">
        <v>198</v>
      </c>
      <c r="Q30" t="s">
        <v>198</v>
      </c>
      <c r="R30" t="s">
        <v>198</v>
      </c>
      <c r="S30" t="s">
        <v>198</v>
      </c>
      <c r="T30" t="s">
        <v>199</v>
      </c>
      <c r="U30" t="s">
        <v>199</v>
      </c>
      <c r="V30" t="s">
        <v>199</v>
      </c>
      <c r="W30" t="s">
        <v>199</v>
      </c>
      <c r="X30" t="s">
        <v>261</v>
      </c>
      <c r="Y30" t="s">
        <v>261</v>
      </c>
      <c r="Z30" t="s">
        <v>261</v>
      </c>
      <c r="AA30" t="s">
        <v>261</v>
      </c>
      <c r="AB30" t="s">
        <v>272</v>
      </c>
      <c r="AC30" t="s">
        <v>272</v>
      </c>
      <c r="AD30" t="s">
        <v>272</v>
      </c>
      <c r="AE30" t="s">
        <v>272</v>
      </c>
      <c r="AQ30" t="s">
        <v>384</v>
      </c>
      <c r="AR30" t="s">
        <v>359</v>
      </c>
      <c r="AS30" t="s">
        <v>386</v>
      </c>
      <c r="AT30" t="s">
        <v>362</v>
      </c>
      <c r="AU30" t="s">
        <v>390</v>
      </c>
      <c r="AV30" t="s">
        <v>359</v>
      </c>
      <c r="AW30" t="s">
        <v>386</v>
      </c>
      <c r="AX30" t="s">
        <v>362</v>
      </c>
      <c r="AY30" t="s">
        <v>390</v>
      </c>
      <c r="AZ30" t="s">
        <v>359</v>
      </c>
      <c r="BA30" t="s">
        <v>386</v>
      </c>
      <c r="BB30" t="s">
        <v>389</v>
      </c>
      <c r="BC30" t="s">
        <v>392</v>
      </c>
    </row>
    <row r="31" spans="1:55" x14ac:dyDescent="0.2">
      <c r="A31">
        <v>2004</v>
      </c>
      <c r="B31">
        <f t="shared" si="0"/>
        <v>1486.1666666666667</v>
      </c>
      <c r="C31">
        <v>3</v>
      </c>
      <c r="E31">
        <v>1</v>
      </c>
      <c r="F31">
        <f>SegmentB!I31</f>
        <v>1101.25</v>
      </c>
      <c r="G31">
        <v>2</v>
      </c>
      <c r="H31">
        <f>'Segment C'!I32</f>
        <v>1341.1666666666667</v>
      </c>
      <c r="I31">
        <v>3</v>
      </c>
      <c r="J31">
        <f>SegmentD!I33</f>
        <v>1417.6666666666667</v>
      </c>
      <c r="K31">
        <v>3</v>
      </c>
      <c r="L31">
        <f>SegmentE!I77</f>
        <v>1695.75</v>
      </c>
      <c r="M31">
        <v>4</v>
      </c>
      <c r="N31">
        <f>SegmentF!I31</f>
        <v>1875</v>
      </c>
      <c r="O31">
        <v>4</v>
      </c>
      <c r="P31" t="s">
        <v>198</v>
      </c>
      <c r="Q31" t="s">
        <v>198</v>
      </c>
      <c r="R31" t="s">
        <v>198</v>
      </c>
      <c r="S31" t="s">
        <v>198</v>
      </c>
      <c r="T31" t="s">
        <v>199</v>
      </c>
      <c r="U31" t="s">
        <v>199</v>
      </c>
      <c r="V31" t="s">
        <v>199</v>
      </c>
      <c r="W31" t="s">
        <v>199</v>
      </c>
      <c r="X31" t="s">
        <v>261</v>
      </c>
      <c r="Y31" t="s">
        <v>261</v>
      </c>
      <c r="Z31" t="s">
        <v>261</v>
      </c>
      <c r="AA31" t="s">
        <v>261</v>
      </c>
      <c r="AB31" t="s">
        <v>272</v>
      </c>
      <c r="AC31" t="s">
        <v>272</v>
      </c>
      <c r="AD31" t="s">
        <v>272</v>
      </c>
      <c r="AE31" t="s">
        <v>272</v>
      </c>
      <c r="AQ31" t="s">
        <v>384</v>
      </c>
      <c r="AR31" t="s">
        <v>359</v>
      </c>
      <c r="AS31" t="s">
        <v>386</v>
      </c>
      <c r="AT31" t="s">
        <v>362</v>
      </c>
      <c r="AU31" t="s">
        <v>390</v>
      </c>
      <c r="AV31" t="s">
        <v>359</v>
      </c>
      <c r="AW31" t="s">
        <v>386</v>
      </c>
      <c r="AX31" t="s">
        <v>362</v>
      </c>
      <c r="AY31" t="s">
        <v>390</v>
      </c>
      <c r="AZ31" t="s">
        <v>359</v>
      </c>
      <c r="BA31" t="s">
        <v>386</v>
      </c>
      <c r="BB31" t="s">
        <v>389</v>
      </c>
      <c r="BC31" t="s">
        <v>392</v>
      </c>
    </row>
    <row r="32" spans="1:55" x14ac:dyDescent="0.2">
      <c r="A32">
        <v>2005</v>
      </c>
      <c r="B32">
        <f t="shared" si="0"/>
        <v>1518.3</v>
      </c>
      <c r="C32">
        <v>4</v>
      </c>
      <c r="E32">
        <v>1</v>
      </c>
      <c r="F32">
        <f>SegmentB!I32</f>
        <v>1101.25</v>
      </c>
      <c r="G32">
        <v>2</v>
      </c>
      <c r="H32">
        <f>'Segment C'!I33</f>
        <v>1341.1666666666667</v>
      </c>
      <c r="I32">
        <v>3</v>
      </c>
      <c r="J32">
        <f>SegmentD!I34</f>
        <v>1578.3333333333333</v>
      </c>
      <c r="K32">
        <v>4</v>
      </c>
      <c r="L32">
        <f>SegmentE!I78</f>
        <v>1695.75</v>
      </c>
      <c r="M32">
        <v>4</v>
      </c>
      <c r="N32">
        <f>SegmentF!I32</f>
        <v>1875</v>
      </c>
      <c r="O32">
        <v>4</v>
      </c>
      <c r="P32" t="s">
        <v>198</v>
      </c>
      <c r="Q32" t="s">
        <v>198</v>
      </c>
      <c r="R32" t="s">
        <v>198</v>
      </c>
      <c r="S32" t="s">
        <v>198</v>
      </c>
      <c r="T32" t="s">
        <v>199</v>
      </c>
      <c r="U32" t="s">
        <v>199</v>
      </c>
      <c r="V32" t="s">
        <v>199</v>
      </c>
      <c r="W32" t="s">
        <v>199</v>
      </c>
      <c r="X32" t="s">
        <v>200</v>
      </c>
      <c r="Y32" t="s">
        <v>200</v>
      </c>
      <c r="Z32" t="s">
        <v>200</v>
      </c>
      <c r="AA32" t="s">
        <v>200</v>
      </c>
      <c r="AB32" t="s">
        <v>273</v>
      </c>
      <c r="AC32" t="s">
        <v>273</v>
      </c>
      <c r="AD32" t="s">
        <v>273</v>
      </c>
      <c r="AE32" t="s">
        <v>273</v>
      </c>
      <c r="AQ32" t="s">
        <v>384</v>
      </c>
      <c r="AR32" t="s">
        <v>359</v>
      </c>
      <c r="AS32" t="s">
        <v>386</v>
      </c>
      <c r="AT32" t="s">
        <v>362</v>
      </c>
      <c r="AU32" t="s">
        <v>391</v>
      </c>
      <c r="AV32" t="s">
        <v>359</v>
      </c>
      <c r="AW32" t="s">
        <v>386</v>
      </c>
      <c r="AX32" t="s">
        <v>362</v>
      </c>
      <c r="AY32" t="s">
        <v>391</v>
      </c>
      <c r="AZ32" t="s">
        <v>359</v>
      </c>
      <c r="BA32" t="s">
        <v>386</v>
      </c>
      <c r="BB32" t="s">
        <v>389</v>
      </c>
      <c r="BC32" t="s">
        <v>393</v>
      </c>
    </row>
    <row r="33" spans="1:68" x14ac:dyDescent="0.2">
      <c r="A33">
        <v>2006</v>
      </c>
      <c r="B33">
        <f t="shared" si="0"/>
        <v>1541.2</v>
      </c>
      <c r="C33">
        <v>4</v>
      </c>
      <c r="E33">
        <v>1</v>
      </c>
      <c r="F33">
        <f>SegmentB!I33</f>
        <v>1185.75</v>
      </c>
      <c r="G33">
        <v>2</v>
      </c>
      <c r="H33">
        <f>'Segment C'!I34</f>
        <v>1341.1666666666667</v>
      </c>
      <c r="I33">
        <v>3</v>
      </c>
      <c r="J33">
        <f>SegmentD!I35</f>
        <v>1608.3333333333333</v>
      </c>
      <c r="K33">
        <v>4</v>
      </c>
      <c r="L33">
        <f>SegmentE!I79</f>
        <v>1695.75</v>
      </c>
      <c r="M33">
        <v>4</v>
      </c>
      <c r="N33">
        <f>SegmentF!I33</f>
        <v>1875</v>
      </c>
      <c r="O33">
        <v>4</v>
      </c>
      <c r="P33" t="s">
        <v>198</v>
      </c>
      <c r="Q33" t="s">
        <v>198</v>
      </c>
      <c r="R33" t="s">
        <v>198</v>
      </c>
      <c r="S33" t="s">
        <v>198</v>
      </c>
      <c r="T33" t="s">
        <v>199</v>
      </c>
      <c r="U33" t="s">
        <v>199</v>
      </c>
      <c r="V33" t="s">
        <v>199</v>
      </c>
      <c r="W33" t="s">
        <v>199</v>
      </c>
      <c r="X33" t="s">
        <v>200</v>
      </c>
      <c r="Y33" t="s">
        <v>200</v>
      </c>
      <c r="Z33" t="s">
        <v>200</v>
      </c>
      <c r="AA33" t="s">
        <v>200</v>
      </c>
      <c r="AB33" t="s">
        <v>273</v>
      </c>
      <c r="AC33" t="s">
        <v>273</v>
      </c>
      <c r="AD33" t="s">
        <v>273</v>
      </c>
      <c r="AE33" t="s">
        <v>273</v>
      </c>
      <c r="AQ33" t="s">
        <v>384</v>
      </c>
      <c r="AR33" t="s">
        <v>359</v>
      </c>
      <c r="AS33" t="s">
        <v>386</v>
      </c>
      <c r="AT33" t="s">
        <v>362</v>
      </c>
      <c r="AU33" t="s">
        <v>391</v>
      </c>
      <c r="AV33" t="s">
        <v>359</v>
      </c>
      <c r="AW33" t="s">
        <v>386</v>
      </c>
      <c r="AX33" t="s">
        <v>362</v>
      </c>
      <c r="AY33" t="s">
        <v>391</v>
      </c>
      <c r="AZ33" t="s">
        <v>359</v>
      </c>
      <c r="BA33" t="s">
        <v>386</v>
      </c>
      <c r="BB33" t="s">
        <v>389</v>
      </c>
      <c r="BC33" t="s">
        <v>393</v>
      </c>
    </row>
    <row r="34" spans="1:68" x14ac:dyDescent="0.2">
      <c r="A34">
        <v>2007</v>
      </c>
      <c r="B34">
        <f t="shared" si="0"/>
        <v>1551.5333333333333</v>
      </c>
      <c r="C34">
        <v>4</v>
      </c>
      <c r="E34">
        <v>1</v>
      </c>
      <c r="F34">
        <f>SegmentB!I34</f>
        <v>1185.75</v>
      </c>
      <c r="G34">
        <v>2</v>
      </c>
      <c r="H34">
        <f>'Segment C'!I35</f>
        <v>1392.8333333333333</v>
      </c>
      <c r="I34">
        <v>3</v>
      </c>
      <c r="J34">
        <f>SegmentD!I36</f>
        <v>1608.3333333333333</v>
      </c>
      <c r="K34">
        <v>4</v>
      </c>
      <c r="L34">
        <f>SegmentE!I80</f>
        <v>1695.75</v>
      </c>
      <c r="M34">
        <v>4</v>
      </c>
      <c r="N34">
        <f>SegmentF!I34</f>
        <v>1875</v>
      </c>
      <c r="O34">
        <v>4</v>
      </c>
      <c r="P34" t="s">
        <v>198</v>
      </c>
      <c r="Q34" t="s">
        <v>198</v>
      </c>
      <c r="R34" t="s">
        <v>198</v>
      </c>
      <c r="S34" t="s">
        <v>198</v>
      </c>
      <c r="T34" t="s">
        <v>199</v>
      </c>
      <c r="U34" t="s">
        <v>199</v>
      </c>
      <c r="V34" t="s">
        <v>199</v>
      </c>
      <c r="W34" t="s">
        <v>199</v>
      </c>
      <c r="X34" t="s">
        <v>200</v>
      </c>
      <c r="Y34" t="s">
        <v>200</v>
      </c>
      <c r="Z34" t="s">
        <v>200</v>
      </c>
      <c r="AA34" t="s">
        <v>200</v>
      </c>
      <c r="AB34" t="s">
        <v>273</v>
      </c>
      <c r="AC34" t="s">
        <v>273</v>
      </c>
      <c r="AD34" t="s">
        <v>273</v>
      </c>
      <c r="AE34" t="s">
        <v>273</v>
      </c>
      <c r="AQ34" t="s">
        <v>384</v>
      </c>
      <c r="AR34" t="s">
        <v>359</v>
      </c>
      <c r="AS34" t="s">
        <v>386</v>
      </c>
      <c r="AT34" t="s">
        <v>362</v>
      </c>
      <c r="AU34" t="s">
        <v>391</v>
      </c>
      <c r="AV34" t="s">
        <v>359</v>
      </c>
      <c r="AW34" t="s">
        <v>386</v>
      </c>
      <c r="AX34" t="s">
        <v>362</v>
      </c>
      <c r="AY34" t="s">
        <v>391</v>
      </c>
      <c r="AZ34" t="s">
        <v>359</v>
      </c>
      <c r="BA34" t="s">
        <v>386</v>
      </c>
      <c r="BB34" t="s">
        <v>389</v>
      </c>
      <c r="BC34" t="s">
        <v>393</v>
      </c>
    </row>
    <row r="35" spans="1:68" x14ac:dyDescent="0.2">
      <c r="A35">
        <v>2008</v>
      </c>
      <c r="B35">
        <f t="shared" si="0"/>
        <v>1601.6666666666665</v>
      </c>
      <c r="C35">
        <v>4</v>
      </c>
      <c r="E35">
        <v>1</v>
      </c>
      <c r="F35">
        <f>SegmentB!I35</f>
        <v>1185.75</v>
      </c>
      <c r="G35">
        <v>2</v>
      </c>
      <c r="H35">
        <f>'Segment C'!I36</f>
        <v>1404</v>
      </c>
      <c r="I35">
        <v>3</v>
      </c>
      <c r="J35">
        <f>SegmentD!I37</f>
        <v>1608.3333333333333</v>
      </c>
      <c r="K35">
        <v>4</v>
      </c>
      <c r="L35">
        <f>SegmentE!I81</f>
        <v>1695.75</v>
      </c>
      <c r="M35">
        <v>4</v>
      </c>
      <c r="N35">
        <f>SegmentF!I35</f>
        <v>2114.5</v>
      </c>
      <c r="O35">
        <v>4</v>
      </c>
      <c r="P35" t="s">
        <v>198</v>
      </c>
      <c r="Q35" t="s">
        <v>198</v>
      </c>
      <c r="R35" t="s">
        <v>198</v>
      </c>
      <c r="S35" t="s">
        <v>198</v>
      </c>
      <c r="T35" t="s">
        <v>199</v>
      </c>
      <c r="U35" t="s">
        <v>199</v>
      </c>
      <c r="V35" t="s">
        <v>199</v>
      </c>
      <c r="W35" t="s">
        <v>199</v>
      </c>
      <c r="X35" t="s">
        <v>200</v>
      </c>
      <c r="Y35" t="s">
        <v>200</v>
      </c>
      <c r="Z35" t="s">
        <v>200</v>
      </c>
      <c r="AA35" t="s">
        <v>200</v>
      </c>
      <c r="AB35" t="s">
        <v>273</v>
      </c>
      <c r="AC35" t="s">
        <v>273</v>
      </c>
      <c r="AD35" t="s">
        <v>273</v>
      </c>
      <c r="AE35" t="s">
        <v>273</v>
      </c>
      <c r="AQ35" t="s">
        <v>384</v>
      </c>
      <c r="AR35" t="s">
        <v>359</v>
      </c>
      <c r="AS35" t="s">
        <v>386</v>
      </c>
      <c r="AT35" t="s">
        <v>362</v>
      </c>
      <c r="AU35" t="s">
        <v>391</v>
      </c>
      <c r="AV35" t="s">
        <v>359</v>
      </c>
      <c r="AW35" t="s">
        <v>386</v>
      </c>
      <c r="AX35" t="s">
        <v>362</v>
      </c>
      <c r="AY35" t="s">
        <v>391</v>
      </c>
      <c r="AZ35" t="s">
        <v>359</v>
      </c>
      <c r="BA35" t="s">
        <v>386</v>
      </c>
      <c r="BB35" t="s">
        <v>389</v>
      </c>
      <c r="BC35" t="s">
        <v>393</v>
      </c>
    </row>
    <row r="36" spans="1:68" x14ac:dyDescent="0.2">
      <c r="A36">
        <v>2009</v>
      </c>
      <c r="B36">
        <f t="shared" si="0"/>
        <v>1610.8666666666666</v>
      </c>
      <c r="C36">
        <v>4</v>
      </c>
      <c r="E36">
        <v>1</v>
      </c>
      <c r="F36">
        <f>SegmentB!I36</f>
        <v>1231.75</v>
      </c>
      <c r="G36">
        <v>2</v>
      </c>
      <c r="H36">
        <f>'Segment C'!I37</f>
        <v>1404</v>
      </c>
      <c r="I36">
        <v>3</v>
      </c>
      <c r="J36">
        <f>SegmentD!I38</f>
        <v>1608.3333333333333</v>
      </c>
      <c r="K36">
        <v>4</v>
      </c>
      <c r="L36">
        <f>SegmentE!I82</f>
        <v>1695.75</v>
      </c>
      <c r="M36">
        <v>4</v>
      </c>
      <c r="N36">
        <f>SegmentF!I36</f>
        <v>2114.5</v>
      </c>
      <c r="O36">
        <v>4</v>
      </c>
      <c r="P36" t="s">
        <v>198</v>
      </c>
      <c r="Q36" t="s">
        <v>198</v>
      </c>
      <c r="R36" t="s">
        <v>198</v>
      </c>
      <c r="S36" t="s">
        <v>198</v>
      </c>
      <c r="T36" t="s">
        <v>199</v>
      </c>
      <c r="U36" t="s">
        <v>199</v>
      </c>
      <c r="V36" t="s">
        <v>199</v>
      </c>
      <c r="W36" t="s">
        <v>199</v>
      </c>
      <c r="X36" t="s">
        <v>200</v>
      </c>
      <c r="Y36" t="s">
        <v>200</v>
      </c>
      <c r="Z36" t="s">
        <v>200</v>
      </c>
      <c r="AA36" t="s">
        <v>200</v>
      </c>
      <c r="AB36" t="s">
        <v>273</v>
      </c>
      <c r="AC36" t="s">
        <v>273</v>
      </c>
      <c r="AD36" t="s">
        <v>273</v>
      </c>
      <c r="AE36" t="s">
        <v>273</v>
      </c>
      <c r="AQ36" t="s">
        <v>384</v>
      </c>
      <c r="AR36" t="s">
        <v>359</v>
      </c>
      <c r="AS36" t="s">
        <v>386</v>
      </c>
      <c r="AT36" t="s">
        <v>362</v>
      </c>
      <c r="AU36" t="s">
        <v>391</v>
      </c>
      <c r="AV36" t="s">
        <v>359</v>
      </c>
      <c r="AW36" t="s">
        <v>386</v>
      </c>
      <c r="AX36" t="s">
        <v>362</v>
      </c>
      <c r="AY36" t="s">
        <v>391</v>
      </c>
      <c r="AZ36" t="s">
        <v>359</v>
      </c>
      <c r="BA36" t="s">
        <v>386</v>
      </c>
      <c r="BB36" t="s">
        <v>389</v>
      </c>
      <c r="BC36" t="s">
        <v>393</v>
      </c>
    </row>
    <row r="37" spans="1:68" x14ac:dyDescent="0.2">
      <c r="A37">
        <v>2010</v>
      </c>
      <c r="B37">
        <f t="shared" si="0"/>
        <v>1622.5666666666666</v>
      </c>
      <c r="C37">
        <v>4</v>
      </c>
      <c r="E37">
        <v>1</v>
      </c>
      <c r="F37">
        <f>SegmentB!I37</f>
        <v>1231.75</v>
      </c>
      <c r="G37">
        <v>2</v>
      </c>
      <c r="H37">
        <f>'Segment C'!I38</f>
        <v>1404</v>
      </c>
      <c r="I37">
        <v>3</v>
      </c>
      <c r="J37">
        <f>SegmentD!I39</f>
        <v>1628.8333333333333</v>
      </c>
      <c r="K37">
        <v>4</v>
      </c>
      <c r="L37">
        <f>SegmentE!I83</f>
        <v>1733.75</v>
      </c>
      <c r="M37">
        <v>4</v>
      </c>
      <c r="N37">
        <f>SegmentF!I37</f>
        <v>2114.5</v>
      </c>
      <c r="O37">
        <v>4</v>
      </c>
      <c r="P37" t="s">
        <v>198</v>
      </c>
      <c r="Q37" t="s">
        <v>198</v>
      </c>
      <c r="R37" t="s">
        <v>198</v>
      </c>
      <c r="S37" t="s">
        <v>198</v>
      </c>
      <c r="T37" t="s">
        <v>199</v>
      </c>
      <c r="U37" t="s">
        <v>199</v>
      </c>
      <c r="V37" t="s">
        <v>199</v>
      </c>
      <c r="W37" t="s">
        <v>199</v>
      </c>
      <c r="X37" t="s">
        <v>200</v>
      </c>
      <c r="Y37" t="s">
        <v>200</v>
      </c>
      <c r="Z37" t="s">
        <v>200</v>
      </c>
      <c r="AA37" t="s">
        <v>200</v>
      </c>
      <c r="AB37" t="s">
        <v>273</v>
      </c>
      <c r="AC37" t="s">
        <v>273</v>
      </c>
      <c r="AD37" t="s">
        <v>273</v>
      </c>
      <c r="AE37" t="s">
        <v>273</v>
      </c>
      <c r="AG37" t="s">
        <v>332</v>
      </c>
      <c r="AH37" t="s">
        <v>333</v>
      </c>
      <c r="AI37" t="s">
        <v>333</v>
      </c>
      <c r="AJ37" t="s">
        <v>338</v>
      </c>
      <c r="AK37" t="s">
        <v>339</v>
      </c>
      <c r="AL37" t="s">
        <v>332</v>
      </c>
      <c r="AM37" t="s">
        <v>333</v>
      </c>
      <c r="AN37" t="s">
        <v>333</v>
      </c>
      <c r="AO37" t="s">
        <v>338</v>
      </c>
      <c r="AP37" t="s">
        <v>339</v>
      </c>
      <c r="AQ37" t="s">
        <v>384</v>
      </c>
      <c r="AR37" t="s">
        <v>359</v>
      </c>
      <c r="AS37" t="s">
        <v>386</v>
      </c>
      <c r="AT37" t="s">
        <v>362</v>
      </c>
      <c r="AU37" t="s">
        <v>391</v>
      </c>
      <c r="AV37" t="s">
        <v>359</v>
      </c>
      <c r="AW37" t="s">
        <v>386</v>
      </c>
      <c r="AX37" t="s">
        <v>362</v>
      </c>
      <c r="AY37" t="s">
        <v>391</v>
      </c>
      <c r="AZ37" t="s">
        <v>385</v>
      </c>
      <c r="BA37" t="s">
        <v>387</v>
      </c>
      <c r="BB37" t="s">
        <v>389</v>
      </c>
      <c r="BC37" t="s">
        <v>393</v>
      </c>
      <c r="BD37" t="s">
        <v>409</v>
      </c>
      <c r="BE37" t="s">
        <v>410</v>
      </c>
      <c r="BF37" t="s">
        <v>411</v>
      </c>
      <c r="BG37" t="s">
        <v>413</v>
      </c>
      <c r="BH37" t="s">
        <v>415</v>
      </c>
      <c r="BI37" t="s">
        <v>410</v>
      </c>
      <c r="BJ37" t="s">
        <v>411</v>
      </c>
      <c r="BK37" t="s">
        <v>413</v>
      </c>
      <c r="BL37" t="s">
        <v>415</v>
      </c>
      <c r="BM37" t="s">
        <v>416</v>
      </c>
      <c r="BN37" t="s">
        <v>417</v>
      </c>
      <c r="BO37" t="s">
        <v>419</v>
      </c>
      <c r="BP37" t="s">
        <v>421</v>
      </c>
    </row>
    <row r="38" spans="1:68" x14ac:dyDescent="0.2">
      <c r="A38">
        <v>2011</v>
      </c>
      <c r="B38">
        <f t="shared" si="0"/>
        <v>1622.5666666666666</v>
      </c>
      <c r="C38">
        <v>4</v>
      </c>
      <c r="E38">
        <v>1</v>
      </c>
      <c r="F38">
        <f>SegmentB!I38</f>
        <v>1231.75</v>
      </c>
      <c r="G38">
        <v>2</v>
      </c>
      <c r="H38">
        <f>'Segment C'!I39</f>
        <v>1404</v>
      </c>
      <c r="I38">
        <v>3</v>
      </c>
      <c r="J38">
        <f>SegmentD!I40</f>
        <v>1628.8333333333333</v>
      </c>
      <c r="K38">
        <v>4</v>
      </c>
      <c r="L38">
        <f>SegmentE!I84</f>
        <v>1733.75</v>
      </c>
      <c r="M38">
        <v>4</v>
      </c>
      <c r="N38">
        <f>SegmentF!I38</f>
        <v>2114.5</v>
      </c>
      <c r="O38">
        <v>4</v>
      </c>
      <c r="P38" t="s">
        <v>198</v>
      </c>
      <c r="Q38" t="s">
        <v>198</v>
      </c>
      <c r="R38" t="s">
        <v>198</v>
      </c>
      <c r="S38" t="s">
        <v>198</v>
      </c>
      <c r="T38" t="s">
        <v>199</v>
      </c>
      <c r="U38" t="s">
        <v>199</v>
      </c>
      <c r="V38" t="s">
        <v>199</v>
      </c>
      <c r="W38" t="s">
        <v>199</v>
      </c>
      <c r="X38" t="s">
        <v>200</v>
      </c>
      <c r="Y38" t="s">
        <v>200</v>
      </c>
      <c r="Z38" t="s">
        <v>200</v>
      </c>
      <c r="AA38" t="s">
        <v>200</v>
      </c>
      <c r="AB38" t="s">
        <v>273</v>
      </c>
      <c r="AC38" t="s">
        <v>273</v>
      </c>
      <c r="AD38" t="s">
        <v>273</v>
      </c>
      <c r="AE38" t="s">
        <v>273</v>
      </c>
      <c r="AG38" t="s">
        <v>332</v>
      </c>
      <c r="AH38" t="s">
        <v>333</v>
      </c>
      <c r="AI38" t="s">
        <v>333</v>
      </c>
      <c r="AJ38" t="s">
        <v>338</v>
      </c>
      <c r="AK38" t="s">
        <v>339</v>
      </c>
      <c r="AL38" t="s">
        <v>332</v>
      </c>
      <c r="AM38" t="s">
        <v>333</v>
      </c>
      <c r="AN38" t="s">
        <v>333</v>
      </c>
      <c r="AO38" t="s">
        <v>338</v>
      </c>
      <c r="AP38" t="s">
        <v>339</v>
      </c>
      <c r="AQ38" t="s">
        <v>384</v>
      </c>
      <c r="AR38" t="s">
        <v>359</v>
      </c>
      <c r="AS38" t="s">
        <v>386</v>
      </c>
      <c r="AT38" t="s">
        <v>362</v>
      </c>
      <c r="AU38" t="s">
        <v>391</v>
      </c>
      <c r="AV38" t="s">
        <v>359</v>
      </c>
      <c r="AW38" t="s">
        <v>386</v>
      </c>
      <c r="AX38" t="s">
        <v>362</v>
      </c>
      <c r="AY38" t="s">
        <v>391</v>
      </c>
      <c r="AZ38" t="s">
        <v>385</v>
      </c>
      <c r="BA38" t="s">
        <v>387</v>
      </c>
      <c r="BB38" t="s">
        <v>389</v>
      </c>
      <c r="BC38" t="s">
        <v>393</v>
      </c>
      <c r="BD38" t="s">
        <v>409</v>
      </c>
      <c r="BE38" t="s">
        <v>410</v>
      </c>
      <c r="BF38" t="s">
        <v>411</v>
      </c>
      <c r="BG38" t="s">
        <v>413</v>
      </c>
      <c r="BH38" t="s">
        <v>415</v>
      </c>
      <c r="BI38" t="s">
        <v>410</v>
      </c>
      <c r="BJ38" t="s">
        <v>411</v>
      </c>
      <c r="BK38" t="s">
        <v>413</v>
      </c>
      <c r="BL38" t="s">
        <v>415</v>
      </c>
      <c r="BM38" t="s">
        <v>416</v>
      </c>
      <c r="BN38" t="s">
        <v>417</v>
      </c>
      <c r="BO38" t="s">
        <v>419</v>
      </c>
      <c r="BP38" t="s">
        <v>421</v>
      </c>
    </row>
    <row r="39" spans="1:68" x14ac:dyDescent="0.2">
      <c r="A39">
        <v>2012</v>
      </c>
      <c r="B39">
        <f t="shared" si="0"/>
        <v>1605.2166666666667</v>
      </c>
      <c r="C39">
        <v>4</v>
      </c>
      <c r="E39">
        <v>1</v>
      </c>
      <c r="F39">
        <f>SegmentB!I39</f>
        <v>1178</v>
      </c>
      <c r="G39">
        <v>2</v>
      </c>
      <c r="H39">
        <f>'Segment C'!I40</f>
        <v>1405.3333333333333</v>
      </c>
      <c r="I39">
        <v>3</v>
      </c>
      <c r="J39">
        <f>SegmentD!I41</f>
        <v>1594.5</v>
      </c>
      <c r="K39">
        <v>4</v>
      </c>
      <c r="L39">
        <f>SegmentE!I85</f>
        <v>1733.75</v>
      </c>
      <c r="M39">
        <v>4</v>
      </c>
      <c r="N39">
        <f>SegmentF!I39</f>
        <v>2114.5</v>
      </c>
      <c r="O39">
        <v>4</v>
      </c>
      <c r="P39" t="s">
        <v>198</v>
      </c>
      <c r="Q39" t="s">
        <v>198</v>
      </c>
      <c r="R39" t="s">
        <v>198</v>
      </c>
      <c r="S39" t="s">
        <v>198</v>
      </c>
      <c r="T39" t="s">
        <v>199</v>
      </c>
      <c r="U39" t="s">
        <v>199</v>
      </c>
      <c r="V39" t="s">
        <v>199</v>
      </c>
      <c r="W39" t="s">
        <v>199</v>
      </c>
      <c r="X39" t="s">
        <v>200</v>
      </c>
      <c r="Y39" t="s">
        <v>200</v>
      </c>
      <c r="Z39" t="s">
        <v>200</v>
      </c>
      <c r="AA39" t="s">
        <v>200</v>
      </c>
      <c r="AB39" t="s">
        <v>273</v>
      </c>
      <c r="AC39" t="s">
        <v>273</v>
      </c>
      <c r="AD39" t="s">
        <v>273</v>
      </c>
      <c r="AE39" t="s">
        <v>273</v>
      </c>
      <c r="AG39" t="s">
        <v>332</v>
      </c>
      <c r="AH39" t="s">
        <v>333</v>
      </c>
      <c r="AI39" t="s">
        <v>333</v>
      </c>
      <c r="AJ39" t="s">
        <v>338</v>
      </c>
      <c r="AK39" t="s">
        <v>339</v>
      </c>
      <c r="AL39" t="s">
        <v>332</v>
      </c>
      <c r="AM39" t="s">
        <v>333</v>
      </c>
      <c r="AN39" t="s">
        <v>333</v>
      </c>
      <c r="AO39" t="s">
        <v>338</v>
      </c>
      <c r="AP39" t="s">
        <v>339</v>
      </c>
      <c r="AQ39" t="s">
        <v>384</v>
      </c>
      <c r="AR39" t="s">
        <v>359</v>
      </c>
      <c r="AS39" t="s">
        <v>386</v>
      </c>
      <c r="AT39" t="s">
        <v>362</v>
      </c>
      <c r="AU39" t="s">
        <v>391</v>
      </c>
      <c r="AV39" t="s">
        <v>359</v>
      </c>
      <c r="AW39" t="s">
        <v>386</v>
      </c>
      <c r="AX39" t="s">
        <v>362</v>
      </c>
      <c r="AY39" t="s">
        <v>391</v>
      </c>
      <c r="AZ39" t="s">
        <v>385</v>
      </c>
      <c r="BA39" t="s">
        <v>387</v>
      </c>
      <c r="BB39" t="s">
        <v>389</v>
      </c>
      <c r="BC39" t="s">
        <v>393</v>
      </c>
      <c r="BD39" t="s">
        <v>409</v>
      </c>
      <c r="BE39" t="s">
        <v>410</v>
      </c>
      <c r="BF39" t="s">
        <v>411</v>
      </c>
      <c r="BG39" t="s">
        <v>413</v>
      </c>
      <c r="BH39" t="s">
        <v>415</v>
      </c>
      <c r="BI39" t="s">
        <v>410</v>
      </c>
      <c r="BJ39" t="s">
        <v>411</v>
      </c>
      <c r="BK39" t="s">
        <v>413</v>
      </c>
      <c r="BL39" t="s">
        <v>415</v>
      </c>
      <c r="BM39" t="s">
        <v>416</v>
      </c>
      <c r="BN39" t="s">
        <v>417</v>
      </c>
      <c r="BO39" t="s">
        <v>419</v>
      </c>
      <c r="BP39" t="s">
        <v>421</v>
      </c>
    </row>
    <row r="40" spans="1:68" x14ac:dyDescent="0.2">
      <c r="A40">
        <v>2013</v>
      </c>
      <c r="B40">
        <f t="shared" si="0"/>
        <v>1598.3166666666666</v>
      </c>
      <c r="C40">
        <v>4</v>
      </c>
      <c r="E40">
        <v>1</v>
      </c>
      <c r="F40">
        <f>SegmentB!I40</f>
        <v>1178</v>
      </c>
      <c r="G40">
        <v>2</v>
      </c>
      <c r="H40">
        <f>'Segment C'!I41</f>
        <v>1370.8333333333333</v>
      </c>
      <c r="I40">
        <v>3</v>
      </c>
      <c r="J40">
        <f>SegmentD!I42</f>
        <v>1594.5</v>
      </c>
      <c r="K40">
        <v>4</v>
      </c>
      <c r="L40">
        <f>SegmentE!I86</f>
        <v>1733.75</v>
      </c>
      <c r="M40">
        <v>4</v>
      </c>
      <c r="N40">
        <f>SegmentF!I40</f>
        <v>2114.5</v>
      </c>
      <c r="O40">
        <v>4</v>
      </c>
      <c r="P40" t="s">
        <v>198</v>
      </c>
      <c r="Q40" t="s">
        <v>198</v>
      </c>
      <c r="R40" t="s">
        <v>198</v>
      </c>
      <c r="S40" t="s">
        <v>198</v>
      </c>
      <c r="T40" t="s">
        <v>199</v>
      </c>
      <c r="U40" t="s">
        <v>199</v>
      </c>
      <c r="V40" t="s">
        <v>199</v>
      </c>
      <c r="W40" t="s">
        <v>199</v>
      </c>
      <c r="X40" t="s">
        <v>200</v>
      </c>
      <c r="Y40" t="s">
        <v>200</v>
      </c>
      <c r="Z40" t="s">
        <v>200</v>
      </c>
      <c r="AA40" t="s">
        <v>200</v>
      </c>
      <c r="AB40" t="s">
        <v>273</v>
      </c>
      <c r="AC40" t="s">
        <v>273</v>
      </c>
      <c r="AD40" t="s">
        <v>273</v>
      </c>
      <c r="AE40" t="s">
        <v>273</v>
      </c>
      <c r="AG40" t="s">
        <v>332</v>
      </c>
      <c r="AH40" t="s">
        <v>333</v>
      </c>
      <c r="AI40" t="s">
        <v>333</v>
      </c>
      <c r="AJ40" t="s">
        <v>338</v>
      </c>
      <c r="AK40" t="s">
        <v>339</v>
      </c>
      <c r="AL40" t="s">
        <v>332</v>
      </c>
      <c r="AM40" t="s">
        <v>333</v>
      </c>
      <c r="AN40" t="s">
        <v>333</v>
      </c>
      <c r="AO40" t="s">
        <v>338</v>
      </c>
      <c r="AP40" t="s">
        <v>339</v>
      </c>
      <c r="AQ40" t="s">
        <v>384</v>
      </c>
      <c r="AR40" t="s">
        <v>359</v>
      </c>
      <c r="AS40" t="s">
        <v>386</v>
      </c>
      <c r="AT40" t="s">
        <v>362</v>
      </c>
      <c r="AU40" t="s">
        <v>391</v>
      </c>
      <c r="AV40" t="s">
        <v>359</v>
      </c>
      <c r="AW40" t="s">
        <v>386</v>
      </c>
      <c r="AX40" t="s">
        <v>362</v>
      </c>
      <c r="AY40" t="s">
        <v>391</v>
      </c>
      <c r="AZ40" t="s">
        <v>385</v>
      </c>
      <c r="BA40" t="s">
        <v>387</v>
      </c>
      <c r="BB40" t="s">
        <v>389</v>
      </c>
      <c r="BC40" t="s">
        <v>393</v>
      </c>
      <c r="BD40" t="s">
        <v>409</v>
      </c>
      <c r="BE40" t="s">
        <v>410</v>
      </c>
      <c r="BF40" t="s">
        <v>411</v>
      </c>
      <c r="BG40" t="s">
        <v>413</v>
      </c>
      <c r="BH40" t="s">
        <v>415</v>
      </c>
      <c r="BI40" t="s">
        <v>410</v>
      </c>
      <c r="BJ40" t="s">
        <v>411</v>
      </c>
      <c r="BK40" t="s">
        <v>413</v>
      </c>
      <c r="BL40" t="s">
        <v>415</v>
      </c>
      <c r="BM40" t="s">
        <v>416</v>
      </c>
      <c r="BN40" t="s">
        <v>417</v>
      </c>
      <c r="BO40" t="s">
        <v>419</v>
      </c>
      <c r="BP40" t="s">
        <v>421</v>
      </c>
    </row>
    <row r="41" spans="1:68" x14ac:dyDescent="0.2">
      <c r="A41">
        <v>2014</v>
      </c>
      <c r="B41">
        <f t="shared" si="0"/>
        <v>1594.8166666666666</v>
      </c>
      <c r="C41">
        <v>4</v>
      </c>
      <c r="E41">
        <v>1</v>
      </c>
      <c r="F41">
        <f>SegmentB!I41</f>
        <v>1178</v>
      </c>
      <c r="G41">
        <v>2</v>
      </c>
      <c r="H41">
        <f>'Segment C'!I42</f>
        <v>1370.8333333333333</v>
      </c>
      <c r="I41">
        <v>3</v>
      </c>
      <c r="J41">
        <f>SegmentD!I43</f>
        <v>1577</v>
      </c>
      <c r="K41">
        <v>4</v>
      </c>
      <c r="L41">
        <f>SegmentE!I87</f>
        <v>1733.75</v>
      </c>
      <c r="M41">
        <v>4</v>
      </c>
      <c r="N41">
        <f>SegmentF!I41</f>
        <v>2114.5</v>
      </c>
      <c r="O41">
        <v>4</v>
      </c>
      <c r="P41" t="s">
        <v>198</v>
      </c>
      <c r="Q41" t="s">
        <v>198</v>
      </c>
      <c r="R41" t="s">
        <v>198</v>
      </c>
      <c r="S41" t="s">
        <v>198</v>
      </c>
      <c r="T41" t="s">
        <v>199</v>
      </c>
      <c r="U41" t="s">
        <v>199</v>
      </c>
      <c r="V41" t="s">
        <v>199</v>
      </c>
      <c r="W41" t="s">
        <v>199</v>
      </c>
      <c r="X41" t="s">
        <v>200</v>
      </c>
      <c r="Y41" t="s">
        <v>200</v>
      </c>
      <c r="Z41" t="s">
        <v>200</v>
      </c>
      <c r="AA41" t="s">
        <v>200</v>
      </c>
      <c r="AB41" t="s">
        <v>273</v>
      </c>
      <c r="AC41" t="s">
        <v>273</v>
      </c>
      <c r="AD41" t="s">
        <v>273</v>
      </c>
      <c r="AE41" t="s">
        <v>273</v>
      </c>
      <c r="AG41" t="s">
        <v>332</v>
      </c>
      <c r="AH41" t="s">
        <v>333</v>
      </c>
      <c r="AI41" t="s">
        <v>333</v>
      </c>
      <c r="AJ41" t="s">
        <v>338</v>
      </c>
      <c r="AK41" t="s">
        <v>339</v>
      </c>
      <c r="AL41" t="s">
        <v>332</v>
      </c>
      <c r="AM41" t="s">
        <v>333</v>
      </c>
      <c r="AN41" t="s">
        <v>333</v>
      </c>
      <c r="AO41" t="s">
        <v>338</v>
      </c>
      <c r="AP41" t="s">
        <v>339</v>
      </c>
      <c r="AQ41" t="s">
        <v>384</v>
      </c>
      <c r="AR41" t="s">
        <v>359</v>
      </c>
      <c r="AS41" t="s">
        <v>386</v>
      </c>
      <c r="AT41" t="s">
        <v>362</v>
      </c>
      <c r="AU41" t="s">
        <v>391</v>
      </c>
      <c r="AV41" t="s">
        <v>359</v>
      </c>
      <c r="AW41" t="s">
        <v>386</v>
      </c>
      <c r="AX41" t="s">
        <v>362</v>
      </c>
      <c r="AY41" t="s">
        <v>391</v>
      </c>
      <c r="AZ41" t="s">
        <v>385</v>
      </c>
      <c r="BA41" t="s">
        <v>387</v>
      </c>
      <c r="BB41" t="s">
        <v>389</v>
      </c>
      <c r="BC41" t="s">
        <v>393</v>
      </c>
      <c r="BD41" t="s">
        <v>409</v>
      </c>
      <c r="BE41" t="s">
        <v>410</v>
      </c>
      <c r="BF41" t="s">
        <v>411</v>
      </c>
      <c r="BG41" t="s">
        <v>413</v>
      </c>
      <c r="BH41" t="s">
        <v>415</v>
      </c>
      <c r="BI41" t="s">
        <v>410</v>
      </c>
      <c r="BJ41" t="s">
        <v>411</v>
      </c>
      <c r="BK41" t="s">
        <v>413</v>
      </c>
      <c r="BL41" t="s">
        <v>415</v>
      </c>
      <c r="BM41" t="s">
        <v>416</v>
      </c>
      <c r="BN41" t="s">
        <v>417</v>
      </c>
      <c r="BO41" t="s">
        <v>419</v>
      </c>
      <c r="BP41" t="s">
        <v>421</v>
      </c>
    </row>
    <row r="42" spans="1:68" x14ac:dyDescent="0.2">
      <c r="A42">
        <v>2015</v>
      </c>
      <c r="B42">
        <f t="shared" si="0"/>
        <v>1572.9166666666665</v>
      </c>
      <c r="C42">
        <v>4</v>
      </c>
      <c r="E42">
        <v>1</v>
      </c>
      <c r="F42">
        <f>SegmentB!I42</f>
        <v>1178</v>
      </c>
      <c r="G42">
        <v>2</v>
      </c>
      <c r="H42">
        <f>'Segment C'!I43</f>
        <v>1370.8333333333333</v>
      </c>
      <c r="I42">
        <v>3</v>
      </c>
      <c r="J42">
        <f>SegmentD!I44</f>
        <v>1577</v>
      </c>
      <c r="K42">
        <v>4</v>
      </c>
      <c r="L42">
        <f>SegmentE!I88</f>
        <v>1733.75</v>
      </c>
      <c r="M42">
        <v>4</v>
      </c>
      <c r="N42">
        <f>SegmentF!I42</f>
        <v>2005</v>
      </c>
      <c r="O42">
        <v>4</v>
      </c>
      <c r="P42" t="s">
        <v>198</v>
      </c>
      <c r="Q42" t="s">
        <v>198</v>
      </c>
      <c r="R42" t="s">
        <v>198</v>
      </c>
      <c r="S42" t="s">
        <v>198</v>
      </c>
      <c r="T42" t="s">
        <v>199</v>
      </c>
      <c r="U42" t="s">
        <v>199</v>
      </c>
      <c r="V42" t="s">
        <v>199</v>
      </c>
      <c r="W42" t="s">
        <v>199</v>
      </c>
      <c r="X42" t="s">
        <v>200</v>
      </c>
      <c r="Y42" t="s">
        <v>200</v>
      </c>
      <c r="Z42" t="s">
        <v>200</v>
      </c>
      <c r="AA42" t="s">
        <v>200</v>
      </c>
      <c r="AB42" t="s">
        <v>273</v>
      </c>
      <c r="AC42" t="s">
        <v>273</v>
      </c>
      <c r="AD42" t="s">
        <v>273</v>
      </c>
      <c r="AE42" t="s">
        <v>273</v>
      </c>
      <c r="AG42" t="s">
        <v>332</v>
      </c>
      <c r="AH42" t="s">
        <v>333</v>
      </c>
      <c r="AI42" t="s">
        <v>333</v>
      </c>
      <c r="AJ42" t="s">
        <v>338</v>
      </c>
      <c r="AK42" t="s">
        <v>339</v>
      </c>
      <c r="AL42" t="s">
        <v>332</v>
      </c>
      <c r="AM42" t="s">
        <v>333</v>
      </c>
      <c r="AN42" t="s">
        <v>333</v>
      </c>
      <c r="AO42" t="s">
        <v>338</v>
      </c>
      <c r="AP42" t="s">
        <v>339</v>
      </c>
      <c r="AQ42" t="s">
        <v>384</v>
      </c>
      <c r="AR42" t="s">
        <v>359</v>
      </c>
      <c r="AS42" t="s">
        <v>386</v>
      </c>
      <c r="AT42" t="s">
        <v>362</v>
      </c>
      <c r="AU42" t="s">
        <v>391</v>
      </c>
      <c r="AV42" t="s">
        <v>359</v>
      </c>
      <c r="AW42" t="s">
        <v>386</v>
      </c>
      <c r="AX42" t="s">
        <v>362</v>
      </c>
      <c r="AY42" t="s">
        <v>391</v>
      </c>
      <c r="AZ42" t="s">
        <v>385</v>
      </c>
      <c r="BA42" t="s">
        <v>387</v>
      </c>
      <c r="BB42" t="s">
        <v>389</v>
      </c>
      <c r="BC42" t="s">
        <v>393</v>
      </c>
      <c r="BD42" t="s">
        <v>409</v>
      </c>
      <c r="BE42" t="s">
        <v>410</v>
      </c>
      <c r="BF42" t="s">
        <v>411</v>
      </c>
      <c r="BG42" t="s">
        <v>413</v>
      </c>
      <c r="BH42" t="s">
        <v>415</v>
      </c>
      <c r="BI42" t="s">
        <v>410</v>
      </c>
      <c r="BJ42" t="s">
        <v>411</v>
      </c>
      <c r="BK42" t="s">
        <v>413</v>
      </c>
      <c r="BL42" t="s">
        <v>415</v>
      </c>
      <c r="BM42" t="s">
        <v>416</v>
      </c>
      <c r="BN42" t="s">
        <v>417</v>
      </c>
      <c r="BO42" t="s">
        <v>419</v>
      </c>
      <c r="BP42" t="s">
        <v>421</v>
      </c>
    </row>
    <row r="43" spans="1:68" x14ac:dyDescent="0.2">
      <c r="A43">
        <v>2016</v>
      </c>
      <c r="B43">
        <f t="shared" si="0"/>
        <v>1572.9166666666665</v>
      </c>
      <c r="C43">
        <v>4</v>
      </c>
      <c r="E43">
        <v>1</v>
      </c>
      <c r="F43">
        <f>SegmentB!I43</f>
        <v>1178</v>
      </c>
      <c r="G43">
        <v>2</v>
      </c>
      <c r="H43">
        <f>'Segment C'!I44</f>
        <v>1370.8333333333333</v>
      </c>
      <c r="I43">
        <v>3</v>
      </c>
      <c r="J43">
        <f>SegmentD!I45</f>
        <v>1577</v>
      </c>
      <c r="K43">
        <v>4</v>
      </c>
      <c r="L43">
        <f>SegmentE!I89</f>
        <v>1733.75</v>
      </c>
      <c r="M43">
        <v>4</v>
      </c>
      <c r="N43">
        <f>SegmentF!I43</f>
        <v>2005</v>
      </c>
      <c r="O43">
        <v>4</v>
      </c>
      <c r="P43" t="s">
        <v>198</v>
      </c>
      <c r="Q43" t="s">
        <v>198</v>
      </c>
      <c r="R43" t="s">
        <v>254</v>
      </c>
      <c r="S43" t="s">
        <v>254</v>
      </c>
      <c r="T43" t="s">
        <v>199</v>
      </c>
      <c r="U43" t="s">
        <v>199</v>
      </c>
      <c r="V43" t="s">
        <v>263</v>
      </c>
      <c r="W43" t="s">
        <v>263</v>
      </c>
      <c r="X43" t="s">
        <v>200</v>
      </c>
      <c r="Y43" t="s">
        <v>200</v>
      </c>
      <c r="Z43" t="s">
        <v>200</v>
      </c>
      <c r="AA43" t="s">
        <v>200</v>
      </c>
      <c r="AB43" t="s">
        <v>273</v>
      </c>
      <c r="AC43" t="s">
        <v>273</v>
      </c>
      <c r="AD43" t="s">
        <v>273</v>
      </c>
      <c r="AE43" t="s">
        <v>273</v>
      </c>
      <c r="AG43" t="s">
        <v>332</v>
      </c>
      <c r="AH43" t="s">
        <v>333</v>
      </c>
      <c r="AI43" t="s">
        <v>333</v>
      </c>
      <c r="AJ43" t="s">
        <v>338</v>
      </c>
      <c r="AK43" t="s">
        <v>339</v>
      </c>
      <c r="AL43" t="s">
        <v>332</v>
      </c>
      <c r="AM43" t="s">
        <v>333</v>
      </c>
      <c r="AN43" t="s">
        <v>333</v>
      </c>
      <c r="AO43" t="s">
        <v>338</v>
      </c>
      <c r="AP43" t="s">
        <v>339</v>
      </c>
      <c r="AQ43" t="s">
        <v>384</v>
      </c>
      <c r="AR43" t="s">
        <v>359</v>
      </c>
      <c r="AS43" t="s">
        <v>386</v>
      </c>
      <c r="AT43" t="s">
        <v>362</v>
      </c>
      <c r="AU43" t="s">
        <v>391</v>
      </c>
      <c r="AV43" t="s">
        <v>359</v>
      </c>
      <c r="AW43" t="s">
        <v>386</v>
      </c>
      <c r="AX43" t="s">
        <v>362</v>
      </c>
      <c r="AY43" t="s">
        <v>391</v>
      </c>
      <c r="AZ43" t="s">
        <v>385</v>
      </c>
      <c r="BA43" t="s">
        <v>387</v>
      </c>
      <c r="BB43" t="s">
        <v>389</v>
      </c>
      <c r="BC43" t="s">
        <v>393</v>
      </c>
      <c r="BD43" t="s">
        <v>409</v>
      </c>
      <c r="BE43" t="s">
        <v>410</v>
      </c>
      <c r="BF43" t="s">
        <v>411</v>
      </c>
      <c r="BG43" t="s">
        <v>413</v>
      </c>
      <c r="BH43" t="s">
        <v>415</v>
      </c>
      <c r="BI43" t="s">
        <v>410</v>
      </c>
      <c r="BJ43" t="s">
        <v>411</v>
      </c>
      <c r="BK43" t="s">
        <v>413</v>
      </c>
      <c r="BL43" t="s">
        <v>415</v>
      </c>
      <c r="BM43" t="s">
        <v>416</v>
      </c>
      <c r="BN43" t="s">
        <v>417</v>
      </c>
      <c r="BO43" t="s">
        <v>419</v>
      </c>
      <c r="BP43" t="s">
        <v>421</v>
      </c>
    </row>
    <row r="44" spans="1:68" x14ac:dyDescent="0.2">
      <c r="A44">
        <v>2017</v>
      </c>
      <c r="B44">
        <f t="shared" si="0"/>
        <v>1580.2166666666667</v>
      </c>
      <c r="C44">
        <v>4</v>
      </c>
      <c r="E44">
        <v>1</v>
      </c>
      <c r="F44">
        <f>SegmentB!I44</f>
        <v>1213.25</v>
      </c>
      <c r="G44">
        <v>2</v>
      </c>
      <c r="H44">
        <f>'Segment C'!I45</f>
        <v>1370.8333333333333</v>
      </c>
      <c r="I44">
        <v>3</v>
      </c>
      <c r="J44">
        <f>SegmentD!I46</f>
        <v>1577</v>
      </c>
      <c r="K44">
        <v>4</v>
      </c>
      <c r="L44">
        <f>SegmentE!I90</f>
        <v>1735</v>
      </c>
      <c r="M44">
        <v>4</v>
      </c>
      <c r="N44">
        <f>SegmentF!I44</f>
        <v>2005</v>
      </c>
      <c r="O44">
        <v>4</v>
      </c>
      <c r="P44" t="s">
        <v>198</v>
      </c>
      <c r="Q44" t="s">
        <v>198</v>
      </c>
      <c r="R44" t="s">
        <v>254</v>
      </c>
      <c r="S44" t="s">
        <v>254</v>
      </c>
      <c r="T44" t="s">
        <v>199</v>
      </c>
      <c r="U44" t="s">
        <v>199</v>
      </c>
      <c r="V44" t="s">
        <v>263</v>
      </c>
      <c r="W44" t="s">
        <v>263</v>
      </c>
      <c r="X44" t="s">
        <v>200</v>
      </c>
      <c r="Y44" t="s">
        <v>200</v>
      </c>
      <c r="Z44" t="s">
        <v>200</v>
      </c>
      <c r="AA44" t="s">
        <v>267</v>
      </c>
      <c r="AB44" t="s">
        <v>273</v>
      </c>
      <c r="AC44" t="s">
        <v>273</v>
      </c>
      <c r="AD44" t="s">
        <v>273</v>
      </c>
      <c r="AE44" t="s">
        <v>273</v>
      </c>
      <c r="AG44" t="s">
        <v>332</v>
      </c>
      <c r="AH44" t="s">
        <v>333</v>
      </c>
      <c r="AI44" t="s">
        <v>333</v>
      </c>
      <c r="AJ44" t="s">
        <v>338</v>
      </c>
      <c r="AK44" t="s">
        <v>339</v>
      </c>
      <c r="AL44" t="s">
        <v>332</v>
      </c>
      <c r="AM44" t="s">
        <v>333</v>
      </c>
      <c r="AN44" t="s">
        <v>333</v>
      </c>
      <c r="AO44" t="s">
        <v>338</v>
      </c>
      <c r="AP44" t="s">
        <v>339</v>
      </c>
      <c r="AQ44" t="s">
        <v>384</v>
      </c>
      <c r="AR44" t="s">
        <v>359</v>
      </c>
      <c r="AS44" t="s">
        <v>386</v>
      </c>
      <c r="AT44" t="s">
        <v>362</v>
      </c>
      <c r="AU44" t="s">
        <v>391</v>
      </c>
      <c r="AV44" t="s">
        <v>359</v>
      </c>
      <c r="AW44" t="s">
        <v>386</v>
      </c>
      <c r="AX44" t="s">
        <v>362</v>
      </c>
      <c r="AY44" t="s">
        <v>391</v>
      </c>
      <c r="AZ44" t="s">
        <v>385</v>
      </c>
      <c r="BA44" t="s">
        <v>387</v>
      </c>
      <c r="BB44" t="s">
        <v>389</v>
      </c>
      <c r="BC44" t="s">
        <v>393</v>
      </c>
      <c r="BD44" t="s">
        <v>409</v>
      </c>
      <c r="BE44" t="s">
        <v>410</v>
      </c>
      <c r="BF44" t="s">
        <v>411</v>
      </c>
      <c r="BG44" t="s">
        <v>413</v>
      </c>
      <c r="BH44" t="s">
        <v>415</v>
      </c>
      <c r="BI44" t="s">
        <v>410</v>
      </c>
      <c r="BJ44" t="s">
        <v>411</v>
      </c>
      <c r="BK44" t="s">
        <v>413</v>
      </c>
      <c r="BL44" t="s">
        <v>415</v>
      </c>
      <c r="BM44" t="s">
        <v>416</v>
      </c>
      <c r="BN44" t="s">
        <v>417</v>
      </c>
      <c r="BO44" t="s">
        <v>419</v>
      </c>
      <c r="BP44" t="s">
        <v>421</v>
      </c>
    </row>
    <row r="45" spans="1:68" x14ac:dyDescent="0.2">
      <c r="A45">
        <v>2018</v>
      </c>
      <c r="B45">
        <f t="shared" si="0"/>
        <v>1592.2833333333333</v>
      </c>
      <c r="C45">
        <v>4</v>
      </c>
      <c r="E45">
        <v>1</v>
      </c>
      <c r="F45">
        <f>SegmentB!I45</f>
        <v>1213.25</v>
      </c>
      <c r="G45">
        <v>2</v>
      </c>
      <c r="H45">
        <f>'Segment C'!I46</f>
        <v>1421.6666666666667</v>
      </c>
      <c r="I45">
        <v>3</v>
      </c>
      <c r="J45">
        <f>SegmentD!I47</f>
        <v>1639.5</v>
      </c>
      <c r="K45">
        <v>4</v>
      </c>
      <c r="L45">
        <f>SegmentE!I91</f>
        <v>1682</v>
      </c>
      <c r="M45">
        <v>4</v>
      </c>
      <c r="N45">
        <f>SegmentF!I45</f>
        <v>2005</v>
      </c>
      <c r="O45">
        <v>4</v>
      </c>
      <c r="P45" t="s">
        <v>198</v>
      </c>
      <c r="Q45" t="s">
        <v>198</v>
      </c>
      <c r="R45" t="s">
        <v>254</v>
      </c>
      <c r="S45" t="s">
        <v>254</v>
      </c>
      <c r="T45" t="s">
        <v>199</v>
      </c>
      <c r="U45" t="s">
        <v>199</v>
      </c>
      <c r="V45" t="s">
        <v>263</v>
      </c>
      <c r="W45" t="s">
        <v>263</v>
      </c>
      <c r="X45" t="s">
        <v>200</v>
      </c>
      <c r="Y45" t="s">
        <v>200</v>
      </c>
      <c r="Z45" t="s">
        <v>200</v>
      </c>
      <c r="AA45" t="s">
        <v>267</v>
      </c>
      <c r="AB45" t="s">
        <v>273</v>
      </c>
      <c r="AC45" t="s">
        <v>273</v>
      </c>
      <c r="AD45" t="s">
        <v>273</v>
      </c>
      <c r="AE45" t="s">
        <v>273</v>
      </c>
      <c r="AG45" t="s">
        <v>332</v>
      </c>
      <c r="AH45" t="s">
        <v>333</v>
      </c>
      <c r="AI45" t="s">
        <v>333</v>
      </c>
      <c r="AJ45" t="s">
        <v>338</v>
      </c>
      <c r="AK45" t="s">
        <v>339</v>
      </c>
      <c r="AL45" t="s">
        <v>332</v>
      </c>
      <c r="AM45" t="s">
        <v>333</v>
      </c>
      <c r="AN45" t="s">
        <v>333</v>
      </c>
      <c r="AO45" t="s">
        <v>338</v>
      </c>
      <c r="AP45" t="s">
        <v>339</v>
      </c>
      <c r="AQ45" t="s">
        <v>384</v>
      </c>
      <c r="AR45" t="s">
        <v>359</v>
      </c>
      <c r="AS45" t="s">
        <v>386</v>
      </c>
      <c r="AT45" t="s">
        <v>362</v>
      </c>
      <c r="AU45" t="s">
        <v>391</v>
      </c>
      <c r="AV45" t="s">
        <v>359</v>
      </c>
      <c r="AW45" t="s">
        <v>386</v>
      </c>
      <c r="AX45" t="s">
        <v>362</v>
      </c>
      <c r="AY45" t="s">
        <v>391</v>
      </c>
      <c r="AZ45" t="s">
        <v>385</v>
      </c>
      <c r="BA45" t="s">
        <v>387</v>
      </c>
      <c r="BB45" t="s">
        <v>389</v>
      </c>
      <c r="BC45" t="s">
        <v>393</v>
      </c>
      <c r="BD45" t="s">
        <v>409</v>
      </c>
      <c r="BE45" t="s">
        <v>410</v>
      </c>
      <c r="BF45" t="s">
        <v>411</v>
      </c>
      <c r="BG45" t="s">
        <v>413</v>
      </c>
      <c r="BH45" t="s">
        <v>415</v>
      </c>
      <c r="BI45" t="s">
        <v>410</v>
      </c>
      <c r="BJ45" t="s">
        <v>411</v>
      </c>
      <c r="BK45" t="s">
        <v>413</v>
      </c>
      <c r="BL45" t="s">
        <v>415</v>
      </c>
      <c r="BM45" t="s">
        <v>416</v>
      </c>
      <c r="BN45" t="s">
        <v>417</v>
      </c>
      <c r="BO45" t="s">
        <v>419</v>
      </c>
      <c r="BP45" t="s">
        <v>421</v>
      </c>
    </row>
    <row r="46" spans="1:68" x14ac:dyDescent="0.2">
      <c r="A46">
        <v>2019</v>
      </c>
      <c r="B46">
        <f t="shared" si="0"/>
        <v>1606.8</v>
      </c>
      <c r="C46">
        <v>4</v>
      </c>
      <c r="E46">
        <v>1</v>
      </c>
      <c r="F46">
        <f>SegmentB!I46</f>
        <v>1275</v>
      </c>
      <c r="G46">
        <v>3</v>
      </c>
      <c r="H46">
        <f>'Segment C'!I47</f>
        <v>1432.5</v>
      </c>
      <c r="I46">
        <v>3</v>
      </c>
      <c r="J46">
        <f>SegmentD!I48</f>
        <v>1639.5</v>
      </c>
      <c r="K46">
        <v>4</v>
      </c>
      <c r="L46">
        <f>SegmentE!I92</f>
        <v>1682</v>
      </c>
      <c r="M46">
        <v>4</v>
      </c>
      <c r="N46">
        <f>SegmentF!I46</f>
        <v>2005</v>
      </c>
      <c r="O46">
        <v>4</v>
      </c>
      <c r="P46" t="s">
        <v>198</v>
      </c>
      <c r="Q46" t="s">
        <v>198</v>
      </c>
      <c r="R46" t="s">
        <v>254</v>
      </c>
      <c r="S46" t="s">
        <v>254</v>
      </c>
      <c r="T46" t="s">
        <v>198</v>
      </c>
      <c r="U46" t="s">
        <v>198</v>
      </c>
      <c r="V46" t="s">
        <v>254</v>
      </c>
      <c r="W46" t="s">
        <v>254</v>
      </c>
      <c r="X46" t="s">
        <v>262</v>
      </c>
      <c r="Y46" t="s">
        <v>262</v>
      </c>
      <c r="Z46" t="s">
        <v>262</v>
      </c>
      <c r="AA46" t="s">
        <v>268</v>
      </c>
      <c r="AB46" t="s">
        <v>273</v>
      </c>
      <c r="AC46" t="s">
        <v>273</v>
      </c>
      <c r="AD46" t="s">
        <v>273</v>
      </c>
      <c r="AE46" t="s">
        <v>274</v>
      </c>
      <c r="AG46" t="s">
        <v>332</v>
      </c>
      <c r="AH46" t="s">
        <v>333</v>
      </c>
      <c r="AI46" t="s">
        <v>333</v>
      </c>
      <c r="AJ46" t="s">
        <v>338</v>
      </c>
      <c r="AK46" t="s">
        <v>339</v>
      </c>
      <c r="AL46" t="s">
        <v>332</v>
      </c>
      <c r="AM46" t="s">
        <v>333</v>
      </c>
      <c r="AN46" t="s">
        <v>333</v>
      </c>
      <c r="AO46" t="s">
        <v>338</v>
      </c>
      <c r="AP46" t="s">
        <v>339</v>
      </c>
      <c r="AQ46" t="s">
        <v>384</v>
      </c>
      <c r="AR46" t="s">
        <v>359</v>
      </c>
      <c r="AS46" t="s">
        <v>386</v>
      </c>
      <c r="AT46" t="s">
        <v>362</v>
      </c>
      <c r="AU46" t="s">
        <v>391</v>
      </c>
      <c r="AV46" t="s">
        <v>359</v>
      </c>
      <c r="AW46" t="s">
        <v>386</v>
      </c>
      <c r="AX46" t="s">
        <v>362</v>
      </c>
      <c r="AY46" t="s">
        <v>391</v>
      </c>
      <c r="AZ46" t="s">
        <v>385</v>
      </c>
      <c r="BA46" t="s">
        <v>387</v>
      </c>
      <c r="BB46" t="s">
        <v>389</v>
      </c>
      <c r="BC46" t="s">
        <v>393</v>
      </c>
      <c r="BD46" t="s">
        <v>409</v>
      </c>
      <c r="BE46" t="s">
        <v>410</v>
      </c>
      <c r="BF46" t="s">
        <v>411</v>
      </c>
      <c r="BG46" t="s">
        <v>413</v>
      </c>
      <c r="BH46" t="s">
        <v>415</v>
      </c>
      <c r="BI46" t="s">
        <v>410</v>
      </c>
      <c r="BJ46" t="s">
        <v>411</v>
      </c>
      <c r="BK46" t="s">
        <v>413</v>
      </c>
      <c r="BL46" t="s">
        <v>415</v>
      </c>
      <c r="BM46" t="s">
        <v>416</v>
      </c>
      <c r="BN46" t="s">
        <v>417</v>
      </c>
      <c r="BO46" t="s">
        <v>419</v>
      </c>
      <c r="BP46" t="s">
        <v>421</v>
      </c>
    </row>
    <row r="47" spans="1:68" x14ac:dyDescent="0.2">
      <c r="A47">
        <v>2020</v>
      </c>
      <c r="B47">
        <f t="shared" si="0"/>
        <v>1606.8</v>
      </c>
      <c r="C47">
        <v>4</v>
      </c>
      <c r="E47">
        <v>1</v>
      </c>
      <c r="F47">
        <f>SegmentB!I47</f>
        <v>1275</v>
      </c>
      <c r="G47">
        <v>3</v>
      </c>
      <c r="H47">
        <f>'Segment C'!I48</f>
        <v>1432.5</v>
      </c>
      <c r="I47">
        <v>3</v>
      </c>
      <c r="J47">
        <f>SegmentD!I49</f>
        <v>1639.5</v>
      </c>
      <c r="K47">
        <v>4</v>
      </c>
      <c r="L47">
        <f>SegmentE!I93</f>
        <v>1682</v>
      </c>
      <c r="M47">
        <v>4</v>
      </c>
      <c r="N47">
        <f>SegmentF!I47</f>
        <v>2005</v>
      </c>
      <c r="O47">
        <v>4</v>
      </c>
      <c r="P47" t="s">
        <v>198</v>
      </c>
      <c r="Q47" t="s">
        <v>198</v>
      </c>
      <c r="R47" t="s">
        <v>254</v>
      </c>
      <c r="S47" t="s">
        <v>254</v>
      </c>
      <c r="T47" t="s">
        <v>198</v>
      </c>
      <c r="U47" t="s">
        <v>198</v>
      </c>
      <c r="V47" t="s">
        <v>254</v>
      </c>
      <c r="W47" t="s">
        <v>254</v>
      </c>
      <c r="X47" t="s">
        <v>262</v>
      </c>
      <c r="Y47" t="s">
        <v>262</v>
      </c>
      <c r="Z47" t="s">
        <v>262</v>
      </c>
      <c r="AA47" t="s">
        <v>268</v>
      </c>
      <c r="AB47" t="s">
        <v>273</v>
      </c>
      <c r="AC47" t="s">
        <v>273</v>
      </c>
      <c r="AD47" t="s">
        <v>273</v>
      </c>
      <c r="AE47" t="s">
        <v>274</v>
      </c>
      <c r="AG47" t="s">
        <v>332</v>
      </c>
      <c r="AH47" t="s">
        <v>333</v>
      </c>
      <c r="AI47" t="s">
        <v>333</v>
      </c>
      <c r="AJ47" t="s">
        <v>338</v>
      </c>
      <c r="AK47" t="s">
        <v>339</v>
      </c>
      <c r="AL47" t="s">
        <v>332</v>
      </c>
      <c r="AM47" t="s">
        <v>333</v>
      </c>
      <c r="AN47" t="s">
        <v>333</v>
      </c>
      <c r="AO47" t="s">
        <v>338</v>
      </c>
      <c r="AP47" t="s">
        <v>339</v>
      </c>
      <c r="AQ47" t="s">
        <v>384</v>
      </c>
      <c r="AR47" t="s">
        <v>359</v>
      </c>
      <c r="AS47" t="s">
        <v>360</v>
      </c>
      <c r="AT47" t="s">
        <v>394</v>
      </c>
      <c r="AU47" t="s">
        <v>391</v>
      </c>
      <c r="AV47" t="s">
        <v>359</v>
      </c>
      <c r="AW47" t="s">
        <v>360</v>
      </c>
      <c r="AX47" t="s">
        <v>394</v>
      </c>
      <c r="AY47" t="s">
        <v>391</v>
      </c>
      <c r="AZ47" t="s">
        <v>385</v>
      </c>
      <c r="BA47" t="s">
        <v>388</v>
      </c>
      <c r="BB47" t="s">
        <v>395</v>
      </c>
      <c r="BC47" t="s">
        <v>393</v>
      </c>
      <c r="BD47" t="s">
        <v>409</v>
      </c>
      <c r="BE47" t="s">
        <v>410</v>
      </c>
      <c r="BF47" t="s">
        <v>412</v>
      </c>
      <c r="BG47" t="s">
        <v>414</v>
      </c>
      <c r="BH47" t="s">
        <v>415</v>
      </c>
      <c r="BI47" t="s">
        <v>410</v>
      </c>
      <c r="BJ47" t="s">
        <v>412</v>
      </c>
      <c r="BK47" t="s">
        <v>414</v>
      </c>
      <c r="BL47" t="s">
        <v>415</v>
      </c>
      <c r="BM47" t="s">
        <v>416</v>
      </c>
      <c r="BN47" t="s">
        <v>418</v>
      </c>
      <c r="BO47" t="s">
        <v>420</v>
      </c>
      <c r="BP47" t="s">
        <v>421</v>
      </c>
    </row>
    <row r="48" spans="1:68" x14ac:dyDescent="0.2">
      <c r="A48">
        <v>2021</v>
      </c>
      <c r="B48">
        <f t="shared" si="0"/>
        <v>1615.4666666666667</v>
      </c>
      <c r="C48">
        <v>4</v>
      </c>
      <c r="E48">
        <v>1</v>
      </c>
      <c r="F48">
        <f>SegmentB!I48</f>
        <v>1275</v>
      </c>
      <c r="G48">
        <v>3</v>
      </c>
      <c r="H48">
        <f>'Segment C'!I49</f>
        <v>1475.8333333333333</v>
      </c>
      <c r="I48">
        <v>3</v>
      </c>
      <c r="J48">
        <f>SegmentD!I50</f>
        <v>1639.5</v>
      </c>
      <c r="K48">
        <v>4</v>
      </c>
      <c r="L48">
        <f>SegmentE!I94</f>
        <v>1682</v>
      </c>
      <c r="M48">
        <v>4</v>
      </c>
      <c r="N48">
        <f>SegmentF!I48</f>
        <v>2005</v>
      </c>
      <c r="O48">
        <v>4</v>
      </c>
      <c r="P48" t="s">
        <v>198</v>
      </c>
      <c r="Q48" t="s">
        <v>198</v>
      </c>
      <c r="R48" t="s">
        <v>254</v>
      </c>
      <c r="S48" t="s">
        <v>254</v>
      </c>
      <c r="T48" t="s">
        <v>198</v>
      </c>
      <c r="U48" t="s">
        <v>198</v>
      </c>
      <c r="V48" t="s">
        <v>254</v>
      </c>
      <c r="W48" t="s">
        <v>254</v>
      </c>
      <c r="X48" t="s">
        <v>262</v>
      </c>
      <c r="Y48" t="s">
        <v>262</v>
      </c>
      <c r="Z48" t="s">
        <v>262</v>
      </c>
      <c r="AA48" t="s">
        <v>268</v>
      </c>
      <c r="AB48" t="s">
        <v>273</v>
      </c>
      <c r="AC48" t="s">
        <v>273</v>
      </c>
      <c r="AD48" t="s">
        <v>273</v>
      </c>
      <c r="AE48" t="s">
        <v>274</v>
      </c>
      <c r="AG48" t="s">
        <v>332</v>
      </c>
      <c r="AH48" t="s">
        <v>333</v>
      </c>
      <c r="AI48" t="s">
        <v>333</v>
      </c>
      <c r="AJ48" t="s">
        <v>338</v>
      </c>
      <c r="AK48" t="s">
        <v>339</v>
      </c>
      <c r="AL48" t="s">
        <v>332</v>
      </c>
      <c r="AM48" t="s">
        <v>333</v>
      </c>
      <c r="AN48" t="s">
        <v>333</v>
      </c>
      <c r="AO48" t="s">
        <v>338</v>
      </c>
      <c r="AP48" t="s">
        <v>339</v>
      </c>
      <c r="AQ48" t="s">
        <v>384</v>
      </c>
      <c r="AR48" t="s">
        <v>359</v>
      </c>
      <c r="AS48" t="s">
        <v>360</v>
      </c>
      <c r="AT48" t="s">
        <v>394</v>
      </c>
      <c r="AU48" t="s">
        <v>391</v>
      </c>
      <c r="AV48" t="s">
        <v>359</v>
      </c>
      <c r="AW48" t="s">
        <v>360</v>
      </c>
      <c r="AX48" t="s">
        <v>394</v>
      </c>
      <c r="AY48" t="s">
        <v>391</v>
      </c>
      <c r="AZ48" t="s">
        <v>385</v>
      </c>
      <c r="BA48" t="s">
        <v>388</v>
      </c>
      <c r="BB48" t="s">
        <v>395</v>
      </c>
      <c r="BC48" t="s">
        <v>393</v>
      </c>
      <c r="BD48" t="s">
        <v>409</v>
      </c>
      <c r="BE48" t="s">
        <v>410</v>
      </c>
      <c r="BF48" t="s">
        <v>412</v>
      </c>
      <c r="BG48" t="s">
        <v>414</v>
      </c>
      <c r="BH48" t="s">
        <v>415</v>
      </c>
      <c r="BI48" t="s">
        <v>410</v>
      </c>
      <c r="BJ48" t="s">
        <v>412</v>
      </c>
      <c r="BK48" t="s">
        <v>414</v>
      </c>
      <c r="BL48" t="s">
        <v>415</v>
      </c>
      <c r="BM48" t="s">
        <v>416</v>
      </c>
      <c r="BN48" t="s">
        <v>418</v>
      </c>
      <c r="BO48" t="s">
        <v>420</v>
      </c>
      <c r="BP48" t="s">
        <v>421</v>
      </c>
    </row>
    <row r="49" spans="1:68" x14ac:dyDescent="0.2">
      <c r="A49">
        <v>2022</v>
      </c>
      <c r="B49">
        <f t="shared" si="0"/>
        <v>1615.4666666666667</v>
      </c>
      <c r="C49">
        <v>4</v>
      </c>
      <c r="E49">
        <v>1</v>
      </c>
      <c r="F49">
        <f>SegmentB!I49</f>
        <v>1275</v>
      </c>
      <c r="G49">
        <v>3</v>
      </c>
      <c r="H49">
        <f>'Segment C'!I50</f>
        <v>1475.8333333333333</v>
      </c>
      <c r="I49">
        <v>3</v>
      </c>
      <c r="J49">
        <f>SegmentD!I51</f>
        <v>1639.5</v>
      </c>
      <c r="K49">
        <v>4</v>
      </c>
      <c r="L49">
        <f>SegmentE!I95</f>
        <v>1682</v>
      </c>
      <c r="M49">
        <v>4</v>
      </c>
      <c r="N49">
        <f>SegmentF!I49</f>
        <v>2005</v>
      </c>
      <c r="O49">
        <v>4</v>
      </c>
      <c r="P49" t="s">
        <v>198</v>
      </c>
      <c r="Q49" t="s">
        <v>198</v>
      </c>
      <c r="R49" t="s">
        <v>254</v>
      </c>
      <c r="S49" t="s">
        <v>254</v>
      </c>
      <c r="T49" t="s">
        <v>198</v>
      </c>
      <c r="U49" t="s">
        <v>198</v>
      </c>
      <c r="V49" t="s">
        <v>254</v>
      </c>
      <c r="W49" t="s">
        <v>254</v>
      </c>
      <c r="X49" t="s">
        <v>262</v>
      </c>
      <c r="Y49" t="s">
        <v>262</v>
      </c>
      <c r="Z49" t="s">
        <v>262</v>
      </c>
      <c r="AA49" t="s">
        <v>268</v>
      </c>
      <c r="AB49" t="s">
        <v>273</v>
      </c>
      <c r="AC49" t="s">
        <v>273</v>
      </c>
      <c r="AD49" t="s">
        <v>273</v>
      </c>
      <c r="AE49" t="s">
        <v>274</v>
      </c>
      <c r="AG49" t="s">
        <v>332</v>
      </c>
      <c r="AH49" t="s">
        <v>333</v>
      </c>
      <c r="AI49" t="s">
        <v>333</v>
      </c>
      <c r="AJ49" t="s">
        <v>338</v>
      </c>
      <c r="AK49" t="s">
        <v>339</v>
      </c>
      <c r="AL49" t="s">
        <v>332</v>
      </c>
      <c r="AM49" t="s">
        <v>333</v>
      </c>
      <c r="AN49" t="s">
        <v>333</v>
      </c>
      <c r="AO49" t="s">
        <v>338</v>
      </c>
      <c r="AP49" t="s">
        <v>339</v>
      </c>
      <c r="AQ49" t="s">
        <v>384</v>
      </c>
      <c r="AR49" t="s">
        <v>359</v>
      </c>
      <c r="AS49" t="s">
        <v>360</v>
      </c>
      <c r="AT49" t="s">
        <v>394</v>
      </c>
      <c r="AU49" t="s">
        <v>391</v>
      </c>
      <c r="AV49" t="s">
        <v>359</v>
      </c>
      <c r="AW49" t="s">
        <v>360</v>
      </c>
      <c r="AX49" t="s">
        <v>394</v>
      </c>
      <c r="AY49" t="s">
        <v>391</v>
      </c>
      <c r="AZ49" t="s">
        <v>385</v>
      </c>
      <c r="BA49" t="s">
        <v>388</v>
      </c>
      <c r="BB49" t="s">
        <v>395</v>
      </c>
      <c r="BC49" t="s">
        <v>393</v>
      </c>
      <c r="BD49" t="s">
        <v>409</v>
      </c>
      <c r="BE49" t="s">
        <v>410</v>
      </c>
      <c r="BF49" t="s">
        <v>412</v>
      </c>
      <c r="BG49" t="s">
        <v>414</v>
      </c>
      <c r="BH49" t="s">
        <v>415</v>
      </c>
      <c r="BI49" t="s">
        <v>410</v>
      </c>
      <c r="BJ49" t="s">
        <v>412</v>
      </c>
      <c r="BK49" t="s">
        <v>414</v>
      </c>
      <c r="BL49" t="s">
        <v>415</v>
      </c>
      <c r="BM49" t="s">
        <v>416</v>
      </c>
      <c r="BN49" t="s">
        <v>418</v>
      </c>
      <c r="BO49" t="s">
        <v>420</v>
      </c>
      <c r="BP49" t="s">
        <v>421</v>
      </c>
    </row>
    <row r="50" spans="1:68" x14ac:dyDescent="0.2">
      <c r="A50">
        <v>2023</v>
      </c>
      <c r="B50">
        <f t="shared" si="0"/>
        <v>1698.9666666666665</v>
      </c>
      <c r="C50">
        <v>4</v>
      </c>
      <c r="E50">
        <v>1</v>
      </c>
      <c r="F50">
        <f>SegmentB!I50</f>
        <v>1275</v>
      </c>
      <c r="G50">
        <v>3</v>
      </c>
      <c r="H50">
        <f>'Segment C'!I51</f>
        <v>1475.8333333333333</v>
      </c>
      <c r="I50">
        <v>3</v>
      </c>
      <c r="J50">
        <f>SegmentD!I52</f>
        <v>1639.5</v>
      </c>
      <c r="K50">
        <v>4</v>
      </c>
      <c r="L50">
        <f>SegmentE!I96</f>
        <v>1682</v>
      </c>
      <c r="M50">
        <v>4</v>
      </c>
      <c r="N50">
        <f>SegmentF!I50</f>
        <v>2422.5</v>
      </c>
      <c r="O50">
        <v>4</v>
      </c>
      <c r="P50" t="s">
        <v>198</v>
      </c>
      <c r="Q50" t="s">
        <v>198</v>
      </c>
      <c r="R50" t="s">
        <v>254</v>
      </c>
      <c r="S50" t="s">
        <v>254</v>
      </c>
      <c r="T50" t="s">
        <v>198</v>
      </c>
      <c r="U50" t="s">
        <v>198</v>
      </c>
      <c r="V50" t="s">
        <v>254</v>
      </c>
      <c r="W50" t="s">
        <v>254</v>
      </c>
      <c r="X50" t="s">
        <v>262</v>
      </c>
      <c r="Y50" t="s">
        <v>262</v>
      </c>
      <c r="Z50" t="s">
        <v>262</v>
      </c>
      <c r="AA50" t="s">
        <v>268</v>
      </c>
      <c r="AB50" t="s">
        <v>273</v>
      </c>
      <c r="AC50" t="s">
        <v>273</v>
      </c>
      <c r="AD50" t="s">
        <v>273</v>
      </c>
      <c r="AE50" t="s">
        <v>274</v>
      </c>
      <c r="AG50" t="s">
        <v>332</v>
      </c>
      <c r="AH50" t="s">
        <v>333</v>
      </c>
      <c r="AI50" t="s">
        <v>333</v>
      </c>
      <c r="AJ50" t="s">
        <v>338</v>
      </c>
      <c r="AK50" t="s">
        <v>339</v>
      </c>
      <c r="AL50" t="s">
        <v>332</v>
      </c>
      <c r="AM50" t="s">
        <v>333</v>
      </c>
      <c r="AN50" t="s">
        <v>333</v>
      </c>
      <c r="AO50" t="s">
        <v>338</v>
      </c>
      <c r="AP50" t="s">
        <v>339</v>
      </c>
      <c r="AQ50" t="s">
        <v>384</v>
      </c>
      <c r="AR50" t="s">
        <v>359</v>
      </c>
      <c r="AS50" t="s">
        <v>360</v>
      </c>
      <c r="AT50" t="s">
        <v>394</v>
      </c>
      <c r="AU50" t="s">
        <v>391</v>
      </c>
      <c r="AV50" t="s">
        <v>359</v>
      </c>
      <c r="AW50" t="s">
        <v>360</v>
      </c>
      <c r="AX50" t="s">
        <v>394</v>
      </c>
      <c r="AY50" t="s">
        <v>391</v>
      </c>
      <c r="AZ50" t="s">
        <v>385</v>
      </c>
      <c r="BA50" t="s">
        <v>388</v>
      </c>
      <c r="BB50" t="s">
        <v>395</v>
      </c>
      <c r="BC50" t="s">
        <v>393</v>
      </c>
      <c r="BD50" t="s">
        <v>409</v>
      </c>
      <c r="BE50" t="s">
        <v>410</v>
      </c>
      <c r="BF50" t="s">
        <v>412</v>
      </c>
      <c r="BG50" t="s">
        <v>414</v>
      </c>
      <c r="BH50" t="s">
        <v>415</v>
      </c>
      <c r="BI50" t="s">
        <v>410</v>
      </c>
      <c r="BJ50" t="s">
        <v>412</v>
      </c>
      <c r="BK50" t="s">
        <v>414</v>
      </c>
      <c r="BL50" t="s">
        <v>415</v>
      </c>
      <c r="BM50" t="s">
        <v>416</v>
      </c>
      <c r="BN50" t="s">
        <v>418</v>
      </c>
      <c r="BO50" t="s">
        <v>420</v>
      </c>
      <c r="BP50" t="s">
        <v>421</v>
      </c>
    </row>
    <row r="51" spans="1:68" x14ac:dyDescent="0.2">
      <c r="A51">
        <v>2024</v>
      </c>
      <c r="B51">
        <f t="shared" si="0"/>
        <v>1713.7666666666664</v>
      </c>
      <c r="C51">
        <v>4</v>
      </c>
      <c r="E51">
        <v>1</v>
      </c>
      <c r="F51">
        <f>SegmentB!I51</f>
        <v>1275</v>
      </c>
      <c r="G51">
        <v>3</v>
      </c>
      <c r="H51">
        <f>'Segment C'!I52</f>
        <v>1475.8333333333333</v>
      </c>
      <c r="I51">
        <v>3</v>
      </c>
      <c r="J51">
        <f>SegmentD!I53</f>
        <v>1713.5</v>
      </c>
      <c r="K51">
        <v>4</v>
      </c>
      <c r="L51">
        <f>SegmentE!I97</f>
        <v>1682</v>
      </c>
      <c r="M51">
        <v>4</v>
      </c>
      <c r="N51">
        <f>SegmentF!I51</f>
        <v>2422.5</v>
      </c>
      <c r="O51">
        <v>4</v>
      </c>
      <c r="P51" t="s">
        <v>198</v>
      </c>
      <c r="Q51" t="s">
        <v>198</v>
      </c>
      <c r="R51" t="s">
        <v>254</v>
      </c>
      <c r="S51" t="s">
        <v>254</v>
      </c>
      <c r="T51" t="s">
        <v>198</v>
      </c>
      <c r="U51" t="s">
        <v>198</v>
      </c>
      <c r="V51" t="s">
        <v>254</v>
      </c>
      <c r="W51" t="s">
        <v>254</v>
      </c>
      <c r="X51" t="s">
        <v>262</v>
      </c>
      <c r="Y51" t="s">
        <v>262</v>
      </c>
      <c r="Z51" t="s">
        <v>262</v>
      </c>
      <c r="AA51" t="s">
        <v>268</v>
      </c>
      <c r="AB51" t="s">
        <v>273</v>
      </c>
      <c r="AC51" t="s">
        <v>273</v>
      </c>
      <c r="AD51" t="s">
        <v>273</v>
      </c>
      <c r="AE51" t="s">
        <v>274</v>
      </c>
      <c r="AG51" t="s">
        <v>332</v>
      </c>
      <c r="AH51" t="s">
        <v>333</v>
      </c>
      <c r="AI51" t="s">
        <v>333</v>
      </c>
      <c r="AJ51" t="s">
        <v>338</v>
      </c>
      <c r="AK51" t="s">
        <v>339</v>
      </c>
      <c r="AL51" t="s">
        <v>332</v>
      </c>
      <c r="AM51" t="s">
        <v>333</v>
      </c>
      <c r="AN51" t="s">
        <v>333</v>
      </c>
      <c r="AO51" t="s">
        <v>338</v>
      </c>
      <c r="AP51" t="s">
        <v>339</v>
      </c>
      <c r="AQ51" t="s">
        <v>384</v>
      </c>
      <c r="AR51" t="s">
        <v>359</v>
      </c>
      <c r="AS51" t="s">
        <v>360</v>
      </c>
      <c r="AT51" t="s">
        <v>394</v>
      </c>
      <c r="AU51" t="s">
        <v>391</v>
      </c>
      <c r="AV51" t="s">
        <v>359</v>
      </c>
      <c r="AW51" t="s">
        <v>360</v>
      </c>
      <c r="AX51" t="s">
        <v>394</v>
      </c>
      <c r="AY51" t="s">
        <v>391</v>
      </c>
      <c r="AZ51" t="s">
        <v>385</v>
      </c>
      <c r="BA51" t="s">
        <v>388</v>
      </c>
      <c r="BB51" t="s">
        <v>395</v>
      </c>
      <c r="BC51" t="s">
        <v>393</v>
      </c>
      <c r="BD51" t="s">
        <v>409</v>
      </c>
      <c r="BE51" t="s">
        <v>410</v>
      </c>
      <c r="BF51" t="s">
        <v>412</v>
      </c>
      <c r="BG51" t="s">
        <v>414</v>
      </c>
      <c r="BH51" t="s">
        <v>415</v>
      </c>
      <c r="BI51" t="s">
        <v>410</v>
      </c>
      <c r="BJ51" t="s">
        <v>412</v>
      </c>
      <c r="BK51" t="s">
        <v>414</v>
      </c>
      <c r="BL51" t="s">
        <v>415</v>
      </c>
      <c r="BM51" t="s">
        <v>416</v>
      </c>
      <c r="BN51" t="s">
        <v>418</v>
      </c>
      <c r="BO51" t="s">
        <v>420</v>
      </c>
      <c r="BP51" t="s">
        <v>421</v>
      </c>
    </row>
  </sheetData>
  <phoneticPr fontId="2" alignment="center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F081-4AE9-8749-A933-9336A5540E89}">
  <dimension ref="A1:H51"/>
  <sheetViews>
    <sheetView tabSelected="1" workbookViewId="0">
      <selection activeCell="D1" sqref="D1"/>
    </sheetView>
  </sheetViews>
  <sheetFormatPr baseColWidth="10" defaultRowHeight="16" x14ac:dyDescent="0.2"/>
  <cols>
    <col min="2" max="2" width="14.5" style="4" customWidth="1"/>
    <col min="3" max="3" width="13.6640625" customWidth="1"/>
    <col min="4" max="4" width="14.33203125" style="4" customWidth="1"/>
    <col min="5" max="6" width="14.5" customWidth="1"/>
    <col min="7" max="7" width="14.1640625" customWidth="1"/>
    <col min="8" max="8" width="14" customWidth="1"/>
  </cols>
  <sheetData>
    <row r="1" spans="1:8" x14ac:dyDescent="0.2">
      <c r="A1" s="1" t="s">
        <v>195</v>
      </c>
      <c r="B1" s="3" t="s">
        <v>422</v>
      </c>
      <c r="C1" s="1" t="s">
        <v>423</v>
      </c>
      <c r="D1" s="3" t="s">
        <v>424</v>
      </c>
      <c r="E1" s="3" t="s">
        <v>425</v>
      </c>
      <c r="F1" s="3" t="s">
        <v>426</v>
      </c>
      <c r="G1" s="3" t="s">
        <v>427</v>
      </c>
      <c r="H1" s="3" t="s">
        <v>428</v>
      </c>
    </row>
    <row r="2" spans="1:8" x14ac:dyDescent="0.2">
      <c r="A2">
        <v>1975</v>
      </c>
      <c r="B2" s="4">
        <v>1108.3666666666668</v>
      </c>
      <c r="D2" s="4">
        <v>741.25</v>
      </c>
      <c r="E2" s="4">
        <v>868.33333333333337</v>
      </c>
      <c r="F2" s="4">
        <v>1018.75</v>
      </c>
      <c r="G2" s="4">
        <v>1364</v>
      </c>
      <c r="H2" s="4">
        <v>1549.5</v>
      </c>
    </row>
    <row r="3" spans="1:8" x14ac:dyDescent="0.2">
      <c r="A3">
        <v>1976</v>
      </c>
      <c r="B3" s="4">
        <v>1108.3666666666668</v>
      </c>
      <c r="D3" s="4">
        <v>741.25</v>
      </c>
      <c r="E3" s="4">
        <v>868.33333333333337</v>
      </c>
      <c r="F3" s="4">
        <v>1018.75</v>
      </c>
      <c r="G3" s="4">
        <v>1364</v>
      </c>
      <c r="H3" s="4">
        <v>1549.5</v>
      </c>
    </row>
    <row r="4" spans="1:8" x14ac:dyDescent="0.2">
      <c r="A4">
        <v>1977</v>
      </c>
      <c r="B4" s="4">
        <v>1108.3666666666668</v>
      </c>
      <c r="D4" s="4">
        <v>741.25</v>
      </c>
      <c r="E4" s="4">
        <v>868.33333333333337</v>
      </c>
      <c r="F4" s="4">
        <v>1018.75</v>
      </c>
      <c r="G4" s="4">
        <v>1364</v>
      </c>
      <c r="H4" s="4">
        <v>1549.5</v>
      </c>
    </row>
    <row r="5" spans="1:8" x14ac:dyDescent="0.2">
      <c r="A5">
        <v>1978</v>
      </c>
      <c r="B5" s="4">
        <v>1108.3666666666668</v>
      </c>
      <c r="D5" s="4">
        <v>741.25</v>
      </c>
      <c r="E5" s="4">
        <v>868.33333333333337</v>
      </c>
      <c r="F5" s="4">
        <v>1018.75</v>
      </c>
      <c r="G5" s="4">
        <v>1364</v>
      </c>
      <c r="H5" s="4">
        <v>1549.5</v>
      </c>
    </row>
    <row r="6" spans="1:8" x14ac:dyDescent="0.2">
      <c r="A6">
        <v>1979</v>
      </c>
      <c r="B6" s="4">
        <v>1108.3666666666668</v>
      </c>
      <c r="D6" s="4">
        <v>741.25</v>
      </c>
      <c r="E6" s="4">
        <v>868.33333333333337</v>
      </c>
      <c r="F6" s="4">
        <v>1018.75</v>
      </c>
      <c r="G6" s="4">
        <v>1364</v>
      </c>
      <c r="H6" s="4">
        <v>1549.5</v>
      </c>
    </row>
    <row r="7" spans="1:8" x14ac:dyDescent="0.2">
      <c r="A7">
        <v>1980</v>
      </c>
      <c r="B7" s="4">
        <v>1113.8</v>
      </c>
      <c r="D7" s="4">
        <v>741.25</v>
      </c>
      <c r="E7" s="4">
        <v>872.5</v>
      </c>
      <c r="F7" s="4">
        <v>1073.75</v>
      </c>
      <c r="G7" s="4">
        <v>1332</v>
      </c>
      <c r="H7" s="4">
        <v>1549.5</v>
      </c>
    </row>
    <row r="8" spans="1:8" x14ac:dyDescent="0.2">
      <c r="A8">
        <v>1981</v>
      </c>
      <c r="B8" s="4">
        <v>1122.3</v>
      </c>
      <c r="D8" s="4">
        <v>783.75</v>
      </c>
      <c r="E8" s="4">
        <v>872.5</v>
      </c>
      <c r="F8" s="4">
        <v>1073.75</v>
      </c>
      <c r="G8" s="4">
        <v>1332</v>
      </c>
      <c r="H8" s="4">
        <v>1549.5</v>
      </c>
    </row>
    <row r="9" spans="1:8" x14ac:dyDescent="0.2">
      <c r="A9">
        <v>1982</v>
      </c>
      <c r="B9" s="4">
        <v>1144.5999999999999</v>
      </c>
      <c r="D9" s="4">
        <v>783.75</v>
      </c>
      <c r="E9" s="4">
        <v>872.5</v>
      </c>
      <c r="F9" s="4">
        <v>1093.75</v>
      </c>
      <c r="G9" s="4">
        <v>1423.5</v>
      </c>
      <c r="H9" s="4">
        <v>1549.5</v>
      </c>
    </row>
    <row r="10" spans="1:8" x14ac:dyDescent="0.2">
      <c r="A10">
        <v>1983</v>
      </c>
      <c r="B10" s="4">
        <v>1161.2666666666669</v>
      </c>
      <c r="D10" s="4">
        <v>788.75</v>
      </c>
      <c r="E10" s="4">
        <v>950.83333333333337</v>
      </c>
      <c r="F10" s="4">
        <v>1093.75</v>
      </c>
      <c r="G10" s="4">
        <v>1423.5</v>
      </c>
      <c r="H10" s="4">
        <v>1549.5</v>
      </c>
    </row>
    <row r="11" spans="1:8" x14ac:dyDescent="0.2">
      <c r="A11">
        <v>1984</v>
      </c>
      <c r="B11" s="4">
        <v>1161.2666666666669</v>
      </c>
      <c r="D11" s="4">
        <v>788.75</v>
      </c>
      <c r="E11" s="4">
        <v>950.83333333333337</v>
      </c>
      <c r="F11" s="4">
        <v>1093.75</v>
      </c>
      <c r="G11" s="4">
        <v>1423.5</v>
      </c>
      <c r="H11" s="4">
        <v>1549.5</v>
      </c>
    </row>
    <row r="12" spans="1:8" x14ac:dyDescent="0.2">
      <c r="A12">
        <v>1985</v>
      </c>
      <c r="B12" s="4">
        <v>1158.2666666666669</v>
      </c>
      <c r="D12" s="4">
        <v>788.75</v>
      </c>
      <c r="E12" s="4">
        <v>935.83333333333337</v>
      </c>
      <c r="F12" s="4">
        <v>1093.75</v>
      </c>
      <c r="G12" s="4">
        <v>1423.5</v>
      </c>
      <c r="H12" s="4">
        <v>1549.5</v>
      </c>
    </row>
    <row r="13" spans="1:8" x14ac:dyDescent="0.2">
      <c r="A13">
        <v>1986</v>
      </c>
      <c r="B13" s="4">
        <v>1182.9666666666667</v>
      </c>
      <c r="D13" s="4">
        <v>788.75</v>
      </c>
      <c r="E13" s="4">
        <v>935.83333333333337</v>
      </c>
      <c r="F13" s="4">
        <v>1093.75</v>
      </c>
      <c r="G13" s="4">
        <v>1547</v>
      </c>
      <c r="H13" s="4">
        <v>1549.5</v>
      </c>
    </row>
    <row r="14" spans="1:8" x14ac:dyDescent="0.2">
      <c r="A14">
        <v>1987</v>
      </c>
      <c r="B14" s="4">
        <v>1238.0666666666668</v>
      </c>
      <c r="D14" s="4">
        <v>788.75</v>
      </c>
      <c r="E14" s="4">
        <v>935.83333333333337</v>
      </c>
      <c r="F14" s="4">
        <v>1093.75</v>
      </c>
      <c r="G14" s="4">
        <v>1547</v>
      </c>
      <c r="H14" s="4">
        <v>1825</v>
      </c>
    </row>
    <row r="15" spans="1:8" x14ac:dyDescent="0.2">
      <c r="A15">
        <v>1988</v>
      </c>
      <c r="B15" s="4">
        <v>1258.3166666666668</v>
      </c>
      <c r="D15" s="4">
        <v>788.75</v>
      </c>
      <c r="E15" s="4">
        <v>985.83333333333337</v>
      </c>
      <c r="F15" s="4">
        <v>1145</v>
      </c>
      <c r="G15" s="4">
        <v>1547</v>
      </c>
      <c r="H15" s="4">
        <v>1825</v>
      </c>
    </row>
    <row r="16" spans="1:8" x14ac:dyDescent="0.2">
      <c r="A16">
        <v>1989</v>
      </c>
      <c r="B16" s="4">
        <v>1250.1666666666667</v>
      </c>
      <c r="D16" s="4">
        <v>788.75</v>
      </c>
      <c r="E16" s="4">
        <v>985.83333333333337</v>
      </c>
      <c r="F16" s="4">
        <v>1145</v>
      </c>
      <c r="G16" s="4">
        <v>1506.25</v>
      </c>
      <c r="H16" s="4">
        <v>1825</v>
      </c>
    </row>
    <row r="17" spans="1:8" x14ac:dyDescent="0.2">
      <c r="A17">
        <v>1990</v>
      </c>
      <c r="B17" s="4">
        <v>1271.7166666666667</v>
      </c>
      <c r="D17" s="4">
        <v>896.5</v>
      </c>
      <c r="E17" s="4">
        <v>985.83333333333337</v>
      </c>
      <c r="F17" s="4">
        <v>1145</v>
      </c>
      <c r="G17" s="4">
        <v>1506.25</v>
      </c>
      <c r="H17" s="4">
        <v>1825</v>
      </c>
    </row>
    <row r="18" spans="1:8" x14ac:dyDescent="0.2">
      <c r="A18">
        <v>1991</v>
      </c>
      <c r="B18" s="4">
        <v>1282.7166666666667</v>
      </c>
      <c r="D18" s="4">
        <v>896.5</v>
      </c>
      <c r="E18" s="4">
        <v>1040.8333333333333</v>
      </c>
      <c r="F18" s="4">
        <v>1145</v>
      </c>
      <c r="G18" s="4">
        <v>1506.25</v>
      </c>
      <c r="H18" s="4">
        <v>1825</v>
      </c>
    </row>
    <row r="19" spans="1:8" x14ac:dyDescent="0.2">
      <c r="A19">
        <v>1992</v>
      </c>
      <c r="B19" s="4">
        <v>1282.7166666666667</v>
      </c>
      <c r="D19" s="4">
        <v>896.5</v>
      </c>
      <c r="E19" s="4">
        <v>1040.8333333333333</v>
      </c>
      <c r="F19" s="4">
        <v>1145</v>
      </c>
      <c r="G19" s="4">
        <v>1506.25</v>
      </c>
      <c r="H19" s="4">
        <v>1825</v>
      </c>
    </row>
    <row r="20" spans="1:8" x14ac:dyDescent="0.2">
      <c r="A20">
        <v>1993</v>
      </c>
      <c r="B20" s="4">
        <v>1319.8833333333332</v>
      </c>
      <c r="D20" s="4">
        <v>896.5</v>
      </c>
      <c r="E20" s="4">
        <v>1130.8333333333333</v>
      </c>
      <c r="F20" s="4">
        <v>1240.8333333333333</v>
      </c>
      <c r="G20" s="4">
        <v>1506.25</v>
      </c>
      <c r="H20" s="4">
        <v>1825</v>
      </c>
    </row>
    <row r="21" spans="1:8" x14ac:dyDescent="0.2">
      <c r="A21">
        <v>1994</v>
      </c>
      <c r="B21" s="4">
        <v>1319.8833333333332</v>
      </c>
      <c r="D21" s="4">
        <v>896.5</v>
      </c>
      <c r="E21" s="4">
        <v>1130.8333333333333</v>
      </c>
      <c r="F21" s="4">
        <v>1240.8333333333333</v>
      </c>
      <c r="G21" s="4">
        <v>1506.25</v>
      </c>
      <c r="H21" s="4">
        <v>1825</v>
      </c>
    </row>
    <row r="22" spans="1:8" x14ac:dyDescent="0.2">
      <c r="A22">
        <v>1995</v>
      </c>
      <c r="B22" s="4">
        <v>1340.2166666666667</v>
      </c>
      <c r="D22" s="4">
        <v>896.5</v>
      </c>
      <c r="E22" s="4">
        <v>1160</v>
      </c>
      <c r="F22" s="4">
        <v>1240.8333333333333</v>
      </c>
      <c r="G22" s="4">
        <v>1506.25</v>
      </c>
      <c r="H22" s="4">
        <v>1897.5</v>
      </c>
    </row>
    <row r="23" spans="1:8" x14ac:dyDescent="0.2">
      <c r="A23">
        <v>1996</v>
      </c>
      <c r="B23" s="4">
        <v>1378.0833333333335</v>
      </c>
      <c r="D23" s="4">
        <v>896.5</v>
      </c>
      <c r="E23" s="4">
        <v>1160</v>
      </c>
      <c r="F23" s="4">
        <v>1357.6666666666667</v>
      </c>
      <c r="G23" s="4">
        <v>1578.75</v>
      </c>
      <c r="H23" s="4">
        <v>1897.5</v>
      </c>
    </row>
    <row r="24" spans="1:8" x14ac:dyDescent="0.2">
      <c r="A24">
        <v>1997</v>
      </c>
      <c r="B24" s="4">
        <v>1384.3166666666668</v>
      </c>
      <c r="D24" s="4">
        <v>896.5</v>
      </c>
      <c r="E24" s="4">
        <v>1191.1666666666667</v>
      </c>
      <c r="F24" s="4">
        <v>1357.6666666666667</v>
      </c>
      <c r="G24" s="4">
        <v>1578.75</v>
      </c>
      <c r="H24" s="4">
        <v>1897.5</v>
      </c>
    </row>
    <row r="25" spans="1:8" x14ac:dyDescent="0.2">
      <c r="A25">
        <v>1998</v>
      </c>
      <c r="B25" s="4">
        <v>1417.8166666666668</v>
      </c>
      <c r="D25" s="4">
        <v>1064</v>
      </c>
      <c r="E25" s="4">
        <v>1191.1666666666667</v>
      </c>
      <c r="F25" s="4">
        <v>1357.6666666666667</v>
      </c>
      <c r="G25" s="4">
        <v>1578.75</v>
      </c>
      <c r="H25" s="4">
        <v>1897.5</v>
      </c>
    </row>
    <row r="26" spans="1:8" x14ac:dyDescent="0.2">
      <c r="A26">
        <v>1999</v>
      </c>
      <c r="B26" s="4">
        <v>1435.1</v>
      </c>
      <c r="D26" s="4">
        <v>1101.25</v>
      </c>
      <c r="E26" s="4">
        <v>1180.3333333333333</v>
      </c>
      <c r="F26" s="4">
        <v>1417.6666666666667</v>
      </c>
      <c r="G26" s="4">
        <v>1578.75</v>
      </c>
      <c r="H26" s="4">
        <v>1897.5</v>
      </c>
    </row>
    <row r="27" spans="1:8" x14ac:dyDescent="0.2">
      <c r="A27">
        <v>2000</v>
      </c>
      <c r="B27" s="4">
        <v>1466.25</v>
      </c>
      <c r="D27" s="4">
        <v>1101.25</v>
      </c>
      <c r="E27" s="4">
        <v>1180.3333333333333</v>
      </c>
      <c r="F27" s="4">
        <v>1417.6666666666667</v>
      </c>
      <c r="G27" s="4">
        <v>1734.5</v>
      </c>
      <c r="H27" s="4">
        <v>1897.5</v>
      </c>
    </row>
    <row r="28" spans="1:8" x14ac:dyDescent="0.2">
      <c r="A28">
        <v>2001</v>
      </c>
      <c r="B28" s="4">
        <v>1486.65</v>
      </c>
      <c r="D28" s="4">
        <v>1101.25</v>
      </c>
      <c r="E28" s="4">
        <v>1304.8333333333333</v>
      </c>
      <c r="F28" s="4">
        <v>1417.6666666666667</v>
      </c>
      <c r="G28" s="4">
        <v>1734.5</v>
      </c>
      <c r="H28" s="4">
        <v>1875</v>
      </c>
    </row>
    <row r="29" spans="1:8" x14ac:dyDescent="0.2">
      <c r="A29">
        <v>2002</v>
      </c>
      <c r="B29" s="4">
        <v>1486.65</v>
      </c>
      <c r="D29" s="4">
        <v>1101.25</v>
      </c>
      <c r="E29" s="4">
        <v>1304.8333333333333</v>
      </c>
      <c r="F29" s="4">
        <v>1417.6666666666667</v>
      </c>
      <c r="G29" s="4">
        <v>1734.5</v>
      </c>
      <c r="H29" s="4">
        <v>1875</v>
      </c>
    </row>
    <row r="30" spans="1:8" x14ac:dyDescent="0.2">
      <c r="A30">
        <v>2003</v>
      </c>
      <c r="B30" s="4">
        <v>1493.9166666666667</v>
      </c>
      <c r="D30" s="4">
        <v>1101.25</v>
      </c>
      <c r="E30" s="4">
        <v>1341.1666666666667</v>
      </c>
      <c r="F30" s="4">
        <v>1417.6666666666667</v>
      </c>
      <c r="G30" s="4">
        <v>1734.5</v>
      </c>
      <c r="H30" s="4">
        <v>1875</v>
      </c>
    </row>
    <row r="31" spans="1:8" x14ac:dyDescent="0.2">
      <c r="A31">
        <v>2004</v>
      </c>
      <c r="B31" s="4">
        <v>1486.1666666666667</v>
      </c>
      <c r="D31" s="4">
        <v>1101.25</v>
      </c>
      <c r="E31" s="4">
        <v>1341.1666666666667</v>
      </c>
      <c r="F31" s="4">
        <v>1417.6666666666667</v>
      </c>
      <c r="G31" s="4">
        <v>1695.75</v>
      </c>
      <c r="H31" s="4">
        <v>1875</v>
      </c>
    </row>
    <row r="32" spans="1:8" x14ac:dyDescent="0.2">
      <c r="A32">
        <v>2005</v>
      </c>
      <c r="B32" s="4">
        <v>1518.3</v>
      </c>
      <c r="D32" s="4">
        <v>1101.25</v>
      </c>
      <c r="E32" s="4">
        <v>1341.1666666666667</v>
      </c>
      <c r="F32" s="4">
        <v>1578.3333333333333</v>
      </c>
      <c r="G32" s="4">
        <v>1695.75</v>
      </c>
      <c r="H32" s="4">
        <v>1875</v>
      </c>
    </row>
    <row r="33" spans="1:8" x14ac:dyDescent="0.2">
      <c r="A33">
        <v>2006</v>
      </c>
      <c r="B33" s="4">
        <v>1541.2</v>
      </c>
      <c r="D33" s="4">
        <v>1185.75</v>
      </c>
      <c r="E33" s="4">
        <v>1341.1666666666667</v>
      </c>
      <c r="F33" s="4">
        <v>1608.3333333333333</v>
      </c>
      <c r="G33" s="4">
        <v>1695.75</v>
      </c>
      <c r="H33" s="4">
        <v>1875</v>
      </c>
    </row>
    <row r="34" spans="1:8" x14ac:dyDescent="0.2">
      <c r="A34">
        <v>2007</v>
      </c>
      <c r="B34" s="4">
        <v>1551.5333333333333</v>
      </c>
      <c r="D34" s="4">
        <v>1185.75</v>
      </c>
      <c r="E34" s="4">
        <v>1392.8333333333333</v>
      </c>
      <c r="F34" s="4">
        <v>1608.3333333333333</v>
      </c>
      <c r="G34" s="4">
        <v>1695.75</v>
      </c>
      <c r="H34" s="4">
        <v>1875</v>
      </c>
    </row>
    <row r="35" spans="1:8" x14ac:dyDescent="0.2">
      <c r="A35">
        <v>2008</v>
      </c>
      <c r="B35" s="4">
        <v>1601.6666666666665</v>
      </c>
      <c r="D35" s="4">
        <v>1185.75</v>
      </c>
      <c r="E35" s="4">
        <v>1404</v>
      </c>
      <c r="F35" s="4">
        <v>1608.3333333333333</v>
      </c>
      <c r="G35" s="4">
        <v>1695.75</v>
      </c>
      <c r="H35" s="4">
        <v>2114.5</v>
      </c>
    </row>
    <row r="36" spans="1:8" x14ac:dyDescent="0.2">
      <c r="A36">
        <v>2009</v>
      </c>
      <c r="B36" s="4">
        <v>1610.8666666666666</v>
      </c>
      <c r="D36" s="4">
        <v>1231.75</v>
      </c>
      <c r="E36" s="4">
        <v>1404</v>
      </c>
      <c r="F36" s="4">
        <v>1608.3333333333333</v>
      </c>
      <c r="G36" s="4">
        <v>1695.75</v>
      </c>
      <c r="H36" s="4">
        <v>2114.5</v>
      </c>
    </row>
    <row r="37" spans="1:8" x14ac:dyDescent="0.2">
      <c r="A37">
        <v>2010</v>
      </c>
      <c r="B37" s="4">
        <v>1622.5666666666666</v>
      </c>
      <c r="D37" s="4">
        <v>1231.75</v>
      </c>
      <c r="E37" s="4">
        <v>1404</v>
      </c>
      <c r="F37" s="4">
        <v>1628.8333333333333</v>
      </c>
      <c r="G37" s="4">
        <v>1733.75</v>
      </c>
      <c r="H37" s="4">
        <v>2114.5</v>
      </c>
    </row>
    <row r="38" spans="1:8" x14ac:dyDescent="0.2">
      <c r="A38">
        <v>2011</v>
      </c>
      <c r="B38" s="4">
        <v>1622.5666666666666</v>
      </c>
      <c r="D38" s="4">
        <v>1231.75</v>
      </c>
      <c r="E38" s="4">
        <v>1404</v>
      </c>
      <c r="F38" s="4">
        <v>1628.8333333333333</v>
      </c>
      <c r="G38" s="4">
        <v>1733.75</v>
      </c>
      <c r="H38" s="4">
        <v>2114.5</v>
      </c>
    </row>
    <row r="39" spans="1:8" x14ac:dyDescent="0.2">
      <c r="A39">
        <v>2012</v>
      </c>
      <c r="B39" s="4">
        <v>1605.2166666666667</v>
      </c>
      <c r="D39" s="4">
        <v>1178</v>
      </c>
      <c r="E39" s="4">
        <v>1405.3333333333333</v>
      </c>
      <c r="F39" s="4">
        <v>1594.5</v>
      </c>
      <c r="G39" s="4">
        <v>1733.75</v>
      </c>
      <c r="H39" s="4">
        <v>2114.5</v>
      </c>
    </row>
    <row r="40" spans="1:8" x14ac:dyDescent="0.2">
      <c r="A40">
        <v>2013</v>
      </c>
      <c r="B40" s="4">
        <v>1598.3166666666666</v>
      </c>
      <c r="D40" s="4">
        <v>1178</v>
      </c>
      <c r="E40" s="4">
        <v>1370.8333333333333</v>
      </c>
      <c r="F40" s="4">
        <v>1594.5</v>
      </c>
      <c r="G40" s="4">
        <v>1733.75</v>
      </c>
      <c r="H40" s="4">
        <v>2114.5</v>
      </c>
    </row>
    <row r="41" spans="1:8" x14ac:dyDescent="0.2">
      <c r="A41">
        <v>2014</v>
      </c>
      <c r="B41" s="4">
        <v>1594.8166666666666</v>
      </c>
      <c r="D41" s="4">
        <v>1178</v>
      </c>
      <c r="E41" s="4">
        <v>1370.8333333333333</v>
      </c>
      <c r="F41" s="4">
        <v>1577</v>
      </c>
      <c r="G41" s="4">
        <v>1733.75</v>
      </c>
      <c r="H41" s="4">
        <v>2114.5</v>
      </c>
    </row>
    <row r="42" spans="1:8" x14ac:dyDescent="0.2">
      <c r="A42">
        <v>2015</v>
      </c>
      <c r="B42" s="4">
        <v>1572.9166666666665</v>
      </c>
      <c r="D42" s="4">
        <v>1178</v>
      </c>
      <c r="E42" s="4">
        <v>1370.8333333333333</v>
      </c>
      <c r="F42" s="4">
        <v>1577</v>
      </c>
      <c r="G42" s="4">
        <v>1733.75</v>
      </c>
      <c r="H42" s="4">
        <v>2005</v>
      </c>
    </row>
    <row r="43" spans="1:8" x14ac:dyDescent="0.2">
      <c r="A43">
        <v>2016</v>
      </c>
      <c r="B43" s="4">
        <v>1572.9166666666665</v>
      </c>
      <c r="D43" s="4">
        <v>1178</v>
      </c>
      <c r="E43" s="4">
        <v>1370.8333333333333</v>
      </c>
      <c r="F43" s="4">
        <v>1577</v>
      </c>
      <c r="G43" s="4">
        <v>1733.75</v>
      </c>
      <c r="H43" s="4">
        <v>2005</v>
      </c>
    </row>
    <row r="44" spans="1:8" x14ac:dyDescent="0.2">
      <c r="A44">
        <v>2017</v>
      </c>
      <c r="B44" s="4">
        <v>1580.2166666666667</v>
      </c>
      <c r="D44" s="4">
        <v>1213.25</v>
      </c>
      <c r="E44" s="4">
        <v>1370.8333333333333</v>
      </c>
      <c r="F44" s="4">
        <v>1577</v>
      </c>
      <c r="G44" s="4">
        <v>1735</v>
      </c>
      <c r="H44" s="4">
        <v>2005</v>
      </c>
    </row>
    <row r="45" spans="1:8" x14ac:dyDescent="0.2">
      <c r="A45">
        <v>2018</v>
      </c>
      <c r="B45" s="4">
        <v>1592.2833333333333</v>
      </c>
      <c r="D45" s="4">
        <v>1213.25</v>
      </c>
      <c r="E45" s="4">
        <v>1421.6666666666667</v>
      </c>
      <c r="F45" s="4">
        <v>1639.5</v>
      </c>
      <c r="G45" s="4">
        <v>1682</v>
      </c>
      <c r="H45" s="4">
        <v>2005</v>
      </c>
    </row>
    <row r="46" spans="1:8" x14ac:dyDescent="0.2">
      <c r="A46">
        <v>2019</v>
      </c>
      <c r="B46" s="4">
        <v>1606.8</v>
      </c>
      <c r="D46" s="4">
        <v>1275</v>
      </c>
      <c r="E46" s="4">
        <v>1432.5</v>
      </c>
      <c r="F46" s="4">
        <v>1639.5</v>
      </c>
      <c r="G46" s="4">
        <v>1682</v>
      </c>
      <c r="H46" s="4">
        <v>2005</v>
      </c>
    </row>
    <row r="47" spans="1:8" x14ac:dyDescent="0.2">
      <c r="A47">
        <v>2020</v>
      </c>
      <c r="B47" s="4">
        <v>1606.8</v>
      </c>
      <c r="D47" s="4">
        <v>1275</v>
      </c>
      <c r="E47" s="4">
        <v>1432.5</v>
      </c>
      <c r="F47" s="4">
        <v>1639.5</v>
      </c>
      <c r="G47" s="4">
        <v>1682</v>
      </c>
      <c r="H47" s="4">
        <v>2005</v>
      </c>
    </row>
    <row r="48" spans="1:8" x14ac:dyDescent="0.2">
      <c r="A48">
        <v>2021</v>
      </c>
      <c r="B48" s="4">
        <v>1615.4666666666667</v>
      </c>
      <c r="D48" s="4">
        <v>1275</v>
      </c>
      <c r="E48" s="4">
        <v>1475.8333333333333</v>
      </c>
      <c r="F48" s="4">
        <v>1639.5</v>
      </c>
      <c r="G48" s="4">
        <v>1682</v>
      </c>
      <c r="H48" s="4">
        <v>2005</v>
      </c>
    </row>
    <row r="49" spans="1:8" x14ac:dyDescent="0.2">
      <c r="A49">
        <v>2022</v>
      </c>
      <c r="B49" s="4">
        <v>1615.4666666666667</v>
      </c>
      <c r="D49" s="4">
        <v>1275</v>
      </c>
      <c r="E49" s="4">
        <v>1475.8333333333333</v>
      </c>
      <c r="F49" s="4">
        <v>1639.5</v>
      </c>
      <c r="G49" s="4">
        <v>1682</v>
      </c>
      <c r="H49" s="4">
        <v>2005</v>
      </c>
    </row>
    <row r="50" spans="1:8" x14ac:dyDescent="0.2">
      <c r="A50">
        <v>2023</v>
      </c>
      <c r="B50" s="4">
        <v>1698.9666666666665</v>
      </c>
      <c r="D50" s="4">
        <v>1275</v>
      </c>
      <c r="E50" s="4">
        <v>1475.8333333333333</v>
      </c>
      <c r="F50" s="4">
        <v>1639.5</v>
      </c>
      <c r="G50" s="4">
        <v>1682</v>
      </c>
      <c r="H50" s="4">
        <v>2422.5</v>
      </c>
    </row>
    <row r="51" spans="1:8" x14ac:dyDescent="0.2">
      <c r="A51">
        <v>2024</v>
      </c>
      <c r="B51" s="4">
        <v>1713.7666666666664</v>
      </c>
      <c r="D51" s="4">
        <v>1275</v>
      </c>
      <c r="E51" s="4">
        <v>1475.8333333333333</v>
      </c>
      <c r="F51" s="4">
        <v>1713.5</v>
      </c>
      <c r="G51" s="4">
        <v>1682</v>
      </c>
      <c r="H51" s="4">
        <v>2422.5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SegmentA</vt:lpstr>
      <vt:lpstr>SegmentB</vt:lpstr>
      <vt:lpstr>Segment C</vt:lpstr>
      <vt:lpstr>SegmentD</vt:lpstr>
      <vt:lpstr>SegmentE</vt:lpstr>
      <vt:lpstr>SegmentF</vt:lpstr>
      <vt:lpstr>EuroStat</vt:lpstr>
      <vt:lpstr>TranslateKeys</vt:lpstr>
      <vt:lpstr>Keys</vt:lpstr>
      <vt:lpstr>CarWeight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2024-03-21T14:48:40Z</dcterms:created>
  <dcterms:modified xsi:type="dcterms:W3CDTF">2025-01-03T15:44:02Z</dcterms:modified>
</cp:coreProperties>
</file>