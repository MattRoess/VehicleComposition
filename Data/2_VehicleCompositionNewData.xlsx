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0_RCode-Projects/CompositionTotal/Data/"/>
    </mc:Choice>
  </mc:AlternateContent>
  <xr:revisionPtr revIDLastSave="0" documentId="13_ncr:1_{62505E79-1354-D44A-A722-BA433503976E}" xr6:coauthVersionLast="47" xr6:coauthVersionMax="47" xr10:uidLastSave="{00000000-0000-0000-0000-000000000000}"/>
  <bookViews>
    <workbookView xWindow="56120" yWindow="500" windowWidth="46280" windowHeight="27560" firstSheet="18" activeTab="32" xr2:uid="{00000000-000D-0000-FFFF-FFFF00000000}"/>
  </bookViews>
  <sheets>
    <sheet name="Car_Avg_MaterialContent_1" sheetId="22" r:id="rId1"/>
    <sheet name="Car_Avg_MaterialContent_2" sheetId="31" r:id="rId2"/>
    <sheet name="CarProduction_SizeSegment" sheetId="23" r:id="rId3"/>
    <sheet name="CarProduction_ClassSegment" sheetId="25" r:id="rId4"/>
    <sheet name="CarProduction_BodyType" sheetId="24" r:id="rId5"/>
    <sheet name="ProductKeys" sheetId="43" r:id="rId6"/>
    <sheet name="steel_content_1" sheetId="14" r:id="rId7"/>
    <sheet name="steel_content_2" sheetId="33" r:id="rId8"/>
    <sheet name="steel_content_3" sheetId="15" r:id="rId9"/>
    <sheet name="steel_content_4" sheetId="16" r:id="rId10"/>
    <sheet name="aluminum_content_1" sheetId="17" r:id="rId11"/>
    <sheet name="aluminum_content_2" sheetId="18" r:id="rId12"/>
    <sheet name="aluminum_content_3" sheetId="19" r:id="rId13"/>
    <sheet name="aluminum_content_4" sheetId="26" r:id="rId14"/>
    <sheet name="aluminum_content_5" sheetId="27" r:id="rId15"/>
    <sheet name="aluminum_content_6" sheetId="30" r:id="rId16"/>
    <sheet name="aluminum_content_7" sheetId="41" r:id="rId17"/>
    <sheet name="aluminum_component_1" sheetId="20" r:id="rId18"/>
    <sheet name="aluminum_component_2" sheetId="28" r:id="rId19"/>
    <sheet name="aluminum_component_3" sheetId="32" r:id="rId20"/>
    <sheet name="aluminum_component_parts_1" sheetId="29" r:id="rId21"/>
    <sheet name="avg_material_comntent" sheetId="21" r:id="rId22"/>
    <sheet name="catalyst_China_1" sheetId="34" r:id="rId23"/>
    <sheet name="catalyst_converter_1" sheetId="44" r:id="rId24"/>
    <sheet name="catalyst_converter_2" sheetId="45" r:id="rId25"/>
    <sheet name="catalyst_converter_3" sheetId="46" r:id="rId26"/>
    <sheet name="EED_weight" sheetId="50" r:id="rId27"/>
    <sheet name="EED_composition" sheetId="51" r:id="rId28"/>
    <sheet name="EEC_ICEV" sheetId="35" r:id="rId29"/>
    <sheet name="EEC_BEV" sheetId="47" r:id="rId30"/>
    <sheet name="EEC_HEV" sheetId="48" r:id="rId31"/>
    <sheet name="EEC_PHEV" sheetId="49" r:id="rId32"/>
    <sheet name="SUVEffect" sheetId="36" r:id="rId33"/>
    <sheet name="BEV" sheetId="37" r:id="rId34"/>
    <sheet name="HEV" sheetId="40" r:id="rId35"/>
    <sheet name="magnesium_content" sheetId="42" r:id="rId36"/>
    <sheet name="Battery" sheetId="52" r:id="rId37"/>
    <sheet name="BatteryFactor" sheetId="53" r:id="rId38"/>
    <sheet name="Rest" sheetId="54" r:id="rId39"/>
    <sheet name="totalWeight" sheetId="39" r:id="rId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4" l="1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2" i="34"/>
</calcChain>
</file>

<file path=xl/sharedStrings.xml><?xml version="1.0" encoding="utf-8"?>
<sst xmlns="http://schemas.openxmlformats.org/spreadsheetml/2006/main" count="2034" uniqueCount="377">
  <si>
    <t>BEV</t>
  </si>
  <si>
    <t>mildSteel</t>
  </si>
  <si>
    <t>castIron</t>
  </si>
  <si>
    <t>B</t>
  </si>
  <si>
    <t>AHSS/lb</t>
  </si>
  <si>
    <t>year</t>
  </si>
  <si>
    <t>UHSS/lb</t>
  </si>
  <si>
    <t>total/lb</t>
  </si>
  <si>
    <t>HSS</t>
  </si>
  <si>
    <t>Scenario</t>
  </si>
  <si>
    <t>A</t>
  </si>
  <si>
    <t>C</t>
  </si>
  <si>
    <t>fraction_HSS</t>
  </si>
  <si>
    <t>fraction_AHSS</t>
  </si>
  <si>
    <t>fraction_UHSS</t>
  </si>
  <si>
    <t>fraction_mildSteel</t>
  </si>
  <si>
    <t>totalMass</t>
  </si>
  <si>
    <t>base</t>
  </si>
  <si>
    <t>low</t>
  </si>
  <si>
    <t>high</t>
  </si>
  <si>
    <t>scenario</t>
  </si>
  <si>
    <t>Segment</t>
  </si>
  <si>
    <t>D</t>
  </si>
  <si>
    <t>E</t>
  </si>
  <si>
    <t>F</t>
  </si>
  <si>
    <t>lengthCar</t>
  </si>
  <si>
    <t>3.5-3.8</t>
  </si>
  <si>
    <t>3.8-4.2</t>
  </si>
  <si>
    <t>4.2-4.7</t>
  </si>
  <si>
    <t>4.6-4.9</t>
  </si>
  <si>
    <t>4.8-5.2</t>
  </si>
  <si>
    <t>5.1-5.5</t>
  </si>
  <si>
    <t>Wheels</t>
  </si>
  <si>
    <t>Powertrain</t>
  </si>
  <si>
    <t>BIW</t>
  </si>
  <si>
    <t>Transmission</t>
  </si>
  <si>
    <t>ThermalMgt</t>
  </si>
  <si>
    <t>Closures</t>
  </si>
  <si>
    <t>Chassis</t>
  </si>
  <si>
    <t>EVSpecific</t>
  </si>
  <si>
    <t>Steering</t>
  </si>
  <si>
    <t>Brake</t>
  </si>
  <si>
    <t>Trim</t>
  </si>
  <si>
    <t>Driveline</t>
  </si>
  <si>
    <t>Year</t>
  </si>
  <si>
    <t>StandardSteel</t>
  </si>
  <si>
    <t>HSS/AHSS</t>
  </si>
  <si>
    <t>CastIron</t>
  </si>
  <si>
    <t>WroughtAluminium</t>
  </si>
  <si>
    <t>CastAluminium</t>
  </si>
  <si>
    <t>Allothermaterials</t>
  </si>
  <si>
    <t>TotalWeight</t>
  </si>
  <si>
    <t>Standard_Steel</t>
  </si>
  <si>
    <t>Cast_Iron</t>
  </si>
  <si>
    <t>Wrought_Aluminium</t>
  </si>
  <si>
    <t>Cast_Aluminium</t>
  </si>
  <si>
    <t>All_other_materials</t>
  </si>
  <si>
    <t>Total_weight</t>
  </si>
  <si>
    <t>VehicleProduction</t>
  </si>
  <si>
    <t>BodyType</t>
  </si>
  <si>
    <t>SUV</t>
  </si>
  <si>
    <t>Sedan/Hatchback</t>
  </si>
  <si>
    <t>Sporty</t>
  </si>
  <si>
    <t>VAN</t>
  </si>
  <si>
    <t>MPV</t>
  </si>
  <si>
    <t>VehicleClass</t>
  </si>
  <si>
    <t>Type</t>
  </si>
  <si>
    <t>ICE</t>
  </si>
  <si>
    <t>Medium, BMW 3 Series, Mercedes-Benz C-Class, Audi A4, Volkswagen Passat.</t>
  </si>
  <si>
    <t>Small, Volkswagen Polo, Renault Clio, Ford Fiesta, Toyota Yaris, Opel Corsa.</t>
  </si>
  <si>
    <t>Mini, Volkswagen Up!, Fiat Panda/500, Toyota Aygo, Japanese Kei cars</t>
  </si>
  <si>
    <t>Large, BMW 5 Series, Mercedes-Benz E-Class, Audi A6.</t>
  </si>
  <si>
    <t>Lower medium, VW-Golf, Renault Megane, Audi A3, Toyota Corolla, Honda Civic</t>
  </si>
  <si>
    <t>Luxury, BMW 7 Series, Mercedes-Benz S-Class, Audi A8.</t>
  </si>
  <si>
    <t>Component_Family</t>
  </si>
  <si>
    <t>Total</t>
  </si>
  <si>
    <t>Total (lb)</t>
  </si>
  <si>
    <t>Mass (lb)</t>
  </si>
  <si>
    <t>production_type</t>
  </si>
  <si>
    <t>ThermalManagement</t>
  </si>
  <si>
    <t>EV_Specific</t>
  </si>
  <si>
    <t>Wheel</t>
  </si>
  <si>
    <t>Sheet</t>
  </si>
  <si>
    <t>&lt;1</t>
  </si>
  <si>
    <t>Casting</t>
  </si>
  <si>
    <t>Extrusion</t>
  </si>
  <si>
    <t>Forging</t>
  </si>
  <si>
    <t>ComponentPart</t>
  </si>
  <si>
    <t>Door</t>
  </si>
  <si>
    <t>Hood</t>
  </si>
  <si>
    <t>Battery Housing</t>
  </si>
  <si>
    <t>EV Motor Housing</t>
  </si>
  <si>
    <t>EV Inverter/Converter</t>
  </si>
  <si>
    <t>Mega casting</t>
  </si>
  <si>
    <t>Knuckie/Wheel Carrier</t>
  </si>
  <si>
    <t>Shock Tower</t>
  </si>
  <si>
    <t>Sill/Rocker</t>
  </si>
  <si>
    <t>CMS</t>
  </si>
  <si>
    <t>Door Beam</t>
  </si>
  <si>
    <t>Knuckle/Wheel Carrier</t>
  </si>
  <si>
    <t>Control Arm</t>
  </si>
  <si>
    <t>MaterialType</t>
  </si>
  <si>
    <t>Rolled Aluminum</t>
  </si>
  <si>
    <t>Extrude Aluminum</t>
  </si>
  <si>
    <t>Cast Aluminum</t>
  </si>
  <si>
    <t>Forged Aluminum</t>
  </si>
  <si>
    <t>AHSS Sheet</t>
  </si>
  <si>
    <t>Conventional Steel</t>
  </si>
  <si>
    <t>other Steel</t>
  </si>
  <si>
    <t>Iron</t>
  </si>
  <si>
    <t>Magnesium</t>
  </si>
  <si>
    <t>other Metals</t>
  </si>
  <si>
    <t>Polymers &amp; Composites</t>
  </si>
  <si>
    <t>Glass</t>
  </si>
  <si>
    <t>EV Battery (excluding Box)</t>
  </si>
  <si>
    <t>All others</t>
  </si>
  <si>
    <t>Study - year</t>
  </si>
  <si>
    <t>study year</t>
  </si>
  <si>
    <t>ComponentFamily</t>
  </si>
  <si>
    <t>Study-Year</t>
  </si>
  <si>
    <t>Engines</t>
  </si>
  <si>
    <t>Transmission &amp; Drivelines</t>
  </si>
  <si>
    <t>Heat Exchangers</t>
  </si>
  <si>
    <t>Heat Shield</t>
  </si>
  <si>
    <t>Suspension/Cradles/Subframes</t>
  </si>
  <si>
    <t>Steering Components</t>
  </si>
  <si>
    <t>Brakes</t>
  </si>
  <si>
    <t>Body Stamping</t>
  </si>
  <si>
    <t>Other Body</t>
  </si>
  <si>
    <t>Pd</t>
  </si>
  <si>
    <t>Pt</t>
  </si>
  <si>
    <t>Rh</t>
  </si>
  <si>
    <t>Remark</t>
  </si>
  <si>
    <t>China I</t>
  </si>
  <si>
    <t>China II</t>
  </si>
  <si>
    <t>China III</t>
  </si>
  <si>
    <t>China IV</t>
  </si>
  <si>
    <t>China V</t>
  </si>
  <si>
    <t>China VI</t>
  </si>
  <si>
    <t>Aktuatoren aktives Fahrwerk</t>
  </si>
  <si>
    <t>Aktuatoren Bremsanlage (z.B. ABS, ESC)</t>
  </si>
  <si>
    <t>Anlasser</t>
  </si>
  <si>
    <t>Drosselklappensteller</t>
  </si>
  <si>
    <t>DCDC Wandler</t>
  </si>
  <si>
    <t>Fensterheber</t>
  </si>
  <si>
    <t>Generator/Alternator</t>
  </si>
  <si>
    <t>Kombiinstrument/Info-Anzeige</t>
  </si>
  <si>
    <t>Kabelbaum</t>
  </si>
  <si>
    <t>Kraftstoffpumpe</t>
  </si>
  <si>
    <t>Kühlerlüftermotor</t>
  </si>
  <si>
    <t>Lautsprecher</t>
  </si>
  <si>
    <t>Scheibenwischermotor</t>
  </si>
  <si>
    <t>Scheinwerfer (vorne und hinten)</t>
  </si>
  <si>
    <t>Sicherungsbox/Verteiler</t>
  </si>
  <si>
    <t>Sitzverstellungsmotor</t>
  </si>
  <si>
    <t>Steuergerät Antriebsmotor</t>
  </si>
  <si>
    <t>Steuergerät Bremse und Fahrwerk (z.B. ABS, ESC)</t>
  </si>
  <si>
    <t>Steuergerät Fahrassistenz</t>
  </si>
  <si>
    <t>Steuergerät Fahrassistenzsensoren</t>
  </si>
  <si>
    <t>Steuergerät Infotainment (Sound-, Navi-, und Multimedia)</t>
  </si>
  <si>
    <t>Steuergerät Insassenschutz</t>
  </si>
  <si>
    <t>Steuergerät Klimaautomatik</t>
  </si>
  <si>
    <t>Steuermodul/Schieberkasten automatisches Getriebe</t>
  </si>
  <si>
    <t>Waschwasserpumpe</t>
  </si>
  <si>
    <t>Zentralverriegelung</t>
  </si>
  <si>
    <t>Verstärker</t>
  </si>
  <si>
    <t>Lufteinspritzpumpe</t>
  </si>
  <si>
    <t>Tür-, Heckklappen- oder Schiebedachmotor</t>
  </si>
  <si>
    <t>Servolenkungsaktuator</t>
  </si>
  <si>
    <t>Spiegelverstellungsmotor</t>
  </si>
  <si>
    <t>Steuergerät Start Stop</t>
  </si>
  <si>
    <t>Verteilergetriebe</t>
  </si>
  <si>
    <t>SUV Luxury</t>
  </si>
  <si>
    <t>V0101010206</t>
  </si>
  <si>
    <t>JF</t>
  </si>
  <si>
    <t>SUV Executive</t>
  </si>
  <si>
    <t>V0101010205</t>
  </si>
  <si>
    <t>JE</t>
  </si>
  <si>
    <t>SUV Large</t>
  </si>
  <si>
    <t>V0101010204</t>
  </si>
  <si>
    <t>JD</t>
  </si>
  <si>
    <t>SUV Medium</t>
  </si>
  <si>
    <t>V0101010203</t>
  </si>
  <si>
    <t>JC</t>
  </si>
  <si>
    <t>SUV Small</t>
  </si>
  <si>
    <t>V0101010202</t>
  </si>
  <si>
    <t>JB</t>
  </si>
  <si>
    <t>SUV Mini</t>
  </si>
  <si>
    <t>V0101010201</t>
  </si>
  <si>
    <t>JA</t>
  </si>
  <si>
    <t>Description</t>
  </si>
  <si>
    <t>productKeyLevel2</t>
  </si>
  <si>
    <t>segment</t>
  </si>
  <si>
    <t>carBody</t>
  </si>
  <si>
    <t>V0101010101</t>
  </si>
  <si>
    <t>V0101010102</t>
  </si>
  <si>
    <t>V0101010103</t>
  </si>
  <si>
    <t>V0101010104</t>
  </si>
  <si>
    <t>V0101010105</t>
  </si>
  <si>
    <t>V0101010106</t>
  </si>
  <si>
    <t>Hatchback/Sedan</t>
  </si>
  <si>
    <t>productKeyLevel2_SUV</t>
  </si>
  <si>
    <t>segment_SUV</t>
  </si>
  <si>
    <t>carBody_SUV</t>
  </si>
  <si>
    <t>scaleFactor</t>
  </si>
  <si>
    <t>V0301030000</t>
  </si>
  <si>
    <t>castingAlCalculate</t>
  </si>
  <si>
    <t>sheetAlCalculate</t>
  </si>
  <si>
    <t>extrusionAlCalculate</t>
  </si>
  <si>
    <t>22.7 E-drive housing, 11.8 Battery Pack Housing (1/2), 8.4 kg Casting</t>
  </si>
  <si>
    <t xml:space="preserve"> 11.8 Battery Pack Housing (1/2)</t>
  </si>
  <si>
    <t>7.0 Balistic Protection, 5.1 Battery cooling plates</t>
  </si>
  <si>
    <t>PdCalculate</t>
  </si>
  <si>
    <t>PtCalculate</t>
  </si>
  <si>
    <t>RhCalculate</t>
  </si>
  <si>
    <t>actuatorCalculate</t>
  </si>
  <si>
    <t>cableLikeCalculate</t>
  </si>
  <si>
    <t>controllerCalculate</t>
  </si>
  <si>
    <t>powerElectronicCalculate</t>
  </si>
  <si>
    <t>material</t>
  </si>
  <si>
    <t>difference</t>
  </si>
  <si>
    <t>castIronCalculate</t>
  </si>
  <si>
    <t>mildSteelCalculate</t>
  </si>
  <si>
    <t>V0101010000</t>
  </si>
  <si>
    <t>V0401010000</t>
  </si>
  <si>
    <t>difference_factor</t>
  </si>
  <si>
    <t>standard</t>
  </si>
  <si>
    <t>totalMass (in lbs)</t>
  </si>
  <si>
    <t>SheetAluminum</t>
  </si>
  <si>
    <t>ExtrusionAluminum</t>
  </si>
  <si>
    <t>CastingAluminum</t>
  </si>
  <si>
    <t>ForgingAluminum</t>
  </si>
  <si>
    <t>AluminumContent (lb) - 2023</t>
  </si>
  <si>
    <t>AluminumContent (lb) - 2020</t>
  </si>
  <si>
    <t>SheetAluminum (lb)</t>
  </si>
  <si>
    <t>ExtrusionAluminum (lb)</t>
  </si>
  <si>
    <t>CastingAluminum (lb)</t>
  </si>
  <si>
    <t>ForgingAluminum (lb)</t>
  </si>
  <si>
    <t>Diesel</t>
  </si>
  <si>
    <t>HEV</t>
  </si>
  <si>
    <t>PHEV</t>
  </si>
  <si>
    <t>Petrol</t>
  </si>
  <si>
    <t>productKeyLevel1</t>
  </si>
  <si>
    <t>elvPetrol</t>
  </si>
  <si>
    <t>elvDiesel</t>
  </si>
  <si>
    <t>elvBEV</t>
  </si>
  <si>
    <t>elvHEV</t>
  </si>
  <si>
    <t>elvPHEV</t>
  </si>
  <si>
    <t>elvOther</t>
  </si>
  <si>
    <t>V0201020000</t>
  </si>
  <si>
    <t>V0201020101</t>
  </si>
  <si>
    <t>V0201020102</t>
  </si>
  <si>
    <t>V0201020103</t>
  </si>
  <si>
    <t>V0201020104</t>
  </si>
  <si>
    <t>V0201020105</t>
  </si>
  <si>
    <t>V0201020106</t>
  </si>
  <si>
    <t>V0201020201</t>
  </si>
  <si>
    <t>V0201020202</t>
  </si>
  <si>
    <t>V0201020203</t>
  </si>
  <si>
    <t>V0201020204</t>
  </si>
  <si>
    <t>V0201020205</t>
  </si>
  <si>
    <t>V0201020206</t>
  </si>
  <si>
    <t>V0301030101</t>
  </si>
  <si>
    <t>V0301030102</t>
  </si>
  <si>
    <t>V0301030103</t>
  </si>
  <si>
    <t>V0301030104</t>
  </si>
  <si>
    <t>V0301030105</t>
  </si>
  <si>
    <t>V0301030106</t>
  </si>
  <si>
    <t>V0301030201</t>
  </si>
  <si>
    <t>V0301030202</t>
  </si>
  <si>
    <t>V0301030203</t>
  </si>
  <si>
    <t>V0301030204</t>
  </si>
  <si>
    <t>V0301030205</t>
  </si>
  <si>
    <t>V0301030206</t>
  </si>
  <si>
    <t>V0401010101</t>
  </si>
  <si>
    <t>V0401010102</t>
  </si>
  <si>
    <t>V0401010103</t>
  </si>
  <si>
    <t>V0401010104</t>
  </si>
  <si>
    <t>V0401010105</t>
  </si>
  <si>
    <t>V0401010106</t>
  </si>
  <si>
    <t>V0401010201</t>
  </si>
  <si>
    <t>V0401010202</t>
  </si>
  <si>
    <t>V0401010203</t>
  </si>
  <si>
    <t>V0401010204</t>
  </si>
  <si>
    <t>V0401010205</t>
  </si>
  <si>
    <t>V0401010206</t>
  </si>
  <si>
    <t>V0501030000</t>
  </si>
  <si>
    <t>V0501030101</t>
  </si>
  <si>
    <t>V0501030102</t>
  </si>
  <si>
    <t>V0501030103</t>
  </si>
  <si>
    <t>V0501030104</t>
  </si>
  <si>
    <t>V0501030105</t>
  </si>
  <si>
    <t>V0501030106</t>
  </si>
  <si>
    <t>V0501030201</t>
  </si>
  <si>
    <t>V0501030202</t>
  </si>
  <si>
    <t>V0501030203</t>
  </si>
  <si>
    <t>V0501030204</t>
  </si>
  <si>
    <t>V0501030205</t>
  </si>
  <si>
    <t>V0501030206</t>
  </si>
  <si>
    <t>petrol</t>
  </si>
  <si>
    <t>diesel</t>
  </si>
  <si>
    <t>Ce</t>
  </si>
  <si>
    <t>La</t>
  </si>
  <si>
    <t>Element</t>
  </si>
  <si>
    <t>A_B</t>
  </si>
  <si>
    <t>C_D</t>
  </si>
  <si>
    <t>E_F</t>
  </si>
  <si>
    <t>Name</t>
  </si>
  <si>
    <t>Lights</t>
  </si>
  <si>
    <t>Steuergerät Bordnetz/Karosserie</t>
  </si>
  <si>
    <t>Mass</t>
  </si>
  <si>
    <t>Batterie Management System</t>
  </si>
  <si>
    <t>Power electronics</t>
  </si>
  <si>
    <t>DCDC Wandler (48V zu 12V)</t>
  </si>
  <si>
    <t>Inverter (für xEVs)</t>
  </si>
  <si>
    <t>On-board Ladegerät (für xEVs)</t>
  </si>
  <si>
    <t>Externes Ladekabel (für xEVs)</t>
  </si>
  <si>
    <t>Ladeklappe (für xEVs)</t>
  </si>
  <si>
    <t>Kondensator-Array (für xEVs)</t>
  </si>
  <si>
    <t>Vehicle Control Unit (für xEVs)</t>
  </si>
  <si>
    <t>PTC heater (for xEVs)</t>
  </si>
  <si>
    <t>Insulation Monitoring Device (for xEVs)</t>
  </si>
  <si>
    <t>High Voltage DC/DC converter (400V to 12V)</t>
  </si>
  <si>
    <t>actuator</t>
  </si>
  <si>
    <t>powerElectronics</t>
  </si>
  <si>
    <t>controller</t>
  </si>
  <si>
    <t>cableLike</t>
  </si>
  <si>
    <t>light</t>
  </si>
  <si>
    <t>ICEV</t>
  </si>
  <si>
    <t>actuators</t>
  </si>
  <si>
    <t>controllers</t>
  </si>
  <si>
    <t>componentFamily</t>
  </si>
  <si>
    <t>castAluminium</t>
  </si>
  <si>
    <t>wroughtAluminium</t>
  </si>
  <si>
    <t>magnesiumAlloys</t>
  </si>
  <si>
    <t>copperScrap</t>
  </si>
  <si>
    <t>PCBScrap</t>
  </si>
  <si>
    <t>restPlastics</t>
  </si>
  <si>
    <t>cableEngine</t>
  </si>
  <si>
    <t>factor</t>
  </si>
  <si>
    <t>fraction_mildSteel_old</t>
  </si>
  <si>
    <t>fraction_AHSS_old</t>
  </si>
  <si>
    <t>fraction_UHSS_old</t>
  </si>
  <si>
    <t>OTHER</t>
  </si>
  <si>
    <t>V0601040000</t>
  </si>
  <si>
    <t>V0601040101</t>
  </si>
  <si>
    <t>V0601040102</t>
  </si>
  <si>
    <t>V0601040103</t>
  </si>
  <si>
    <t>V0601040104</t>
  </si>
  <si>
    <t>V0601040105</t>
  </si>
  <si>
    <t>V0601040106</t>
  </si>
  <si>
    <t>V0601040201</t>
  </si>
  <si>
    <t>V0601040202</t>
  </si>
  <si>
    <t>V0601040203</t>
  </si>
  <si>
    <t>V0601040204</t>
  </si>
  <si>
    <t>V0601040205</t>
  </si>
  <si>
    <t>V0601040206</t>
  </si>
  <si>
    <t>year</t>
  </si>
  <si>
    <t>segment</t>
  </si>
  <si>
    <t>elvBEV</t>
  </si>
  <si>
    <t>elvDiesel</t>
  </si>
  <si>
    <t>elvHEV</t>
  </si>
  <si>
    <t>elvOther</t>
  </si>
  <si>
    <t>elvPHEV</t>
  </si>
  <si>
    <t>elvPetrol</t>
  </si>
  <si>
    <t>A</t>
  </si>
  <si>
    <t>B</t>
  </si>
  <si>
    <t>C</t>
  </si>
  <si>
    <t>D</t>
  </si>
  <si>
    <t>E</t>
  </si>
  <si>
    <t>F</t>
  </si>
  <si>
    <t>JA</t>
  </si>
  <si>
    <t>JB</t>
  </si>
  <si>
    <t>JC</t>
  </si>
  <si>
    <t>JD</t>
  </si>
  <si>
    <t>JE</t>
  </si>
  <si>
    <t>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</si>
</sst>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indexed="8"/>
      <name val="Calibri"/>
    </font>
    <font>
      <sz val="11"/>
      <color rgb="FF000000"/>
      <name val="Calibri"/>
      <family val="2"/>
    </font>
    <font>
      <sz val="12"/>
      <color rgb="FF000000"/>
      <name val="Helvetica Neue"/>
      <family val="2"/>
    </font>
    <font>
      <sz val="12"/>
      <color rgb="FF000000"/>
      <name val="Calibri"/>
      <family val="2"/>
    </font>
    <font>
      <sz val="12"/>
      <color theme="1"/>
      <name val="Helvetica Neue"/>
      <family val="2"/>
    </font>
    <font>
      <sz val="12"/>
      <color theme="0"/>
      <name val="Helvetica Neue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</cellXfs>
  <cellStyles count="1">
    <cellStyle name="Standard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H5"/>
  <sheetViews>
    <sheetView workbookViewId="0">
      <selection activeCell="E1" sqref="E1"/>
    </sheetView>
  </sheetViews>
  <sheetFormatPr baseColWidth="10" defaultRowHeight="16" x14ac:dyDescent="0.2"/>
  <sheetData>
    <row r="1" spans="1:8" x14ac:dyDescent="0.2">
      <c r="A1" s="1" t="s">
        <v>5</v>
      </c>
      <c r="B1" s="1" t="s">
        <v>52</v>
      </c>
      <c r="C1" s="1" t="s">
        <v>46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2">
      <c r="A2">
        <v>2010</v>
      </c>
      <c r="B2">
        <v>581</v>
      </c>
      <c r="C2">
        <v>240</v>
      </c>
      <c r="D2">
        <v>112</v>
      </c>
      <c r="E2">
        <v>33</v>
      </c>
      <c r="F2">
        <v>76</v>
      </c>
      <c r="G2">
        <v>340</v>
      </c>
      <c r="H2">
        <v>1382</v>
      </c>
    </row>
    <row r="3" spans="1:8" x14ac:dyDescent="0.2">
      <c r="A3">
        <v>2012</v>
      </c>
      <c r="B3">
        <v>535</v>
      </c>
      <c r="C3">
        <v>260</v>
      </c>
      <c r="D3">
        <v>108</v>
      </c>
      <c r="E3">
        <v>40</v>
      </c>
      <c r="F3">
        <v>83</v>
      </c>
      <c r="G3">
        <v>370</v>
      </c>
      <c r="H3">
        <v>1396</v>
      </c>
    </row>
    <row r="4" spans="1:8" x14ac:dyDescent="0.2">
      <c r="A4">
        <v>2015</v>
      </c>
      <c r="B4">
        <v>452</v>
      </c>
      <c r="C4">
        <v>282</v>
      </c>
      <c r="D4">
        <v>107</v>
      </c>
      <c r="E4">
        <v>46</v>
      </c>
      <c r="F4">
        <v>87</v>
      </c>
      <c r="G4">
        <v>385</v>
      </c>
      <c r="H4">
        <v>1359</v>
      </c>
    </row>
    <row r="5" spans="1:8" x14ac:dyDescent="0.2">
      <c r="A5">
        <v>2025</v>
      </c>
      <c r="B5">
        <v>349</v>
      </c>
      <c r="C5">
        <v>226</v>
      </c>
      <c r="D5">
        <v>99</v>
      </c>
      <c r="E5">
        <v>57</v>
      </c>
      <c r="F5">
        <v>91</v>
      </c>
      <c r="G5">
        <v>443</v>
      </c>
      <c r="H5">
        <v>1265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4"/>
  <dimension ref="A1:C31"/>
  <sheetViews>
    <sheetView workbookViewId="0">
      <selection activeCell="A7" sqref="A7:XFD7"/>
    </sheetView>
  </sheetViews>
  <sheetFormatPr baseColWidth="10" defaultRowHeight="16" x14ac:dyDescent="0.2"/>
  <cols>
    <col min="2" max="2" width="25.5" customWidth="1"/>
    <col min="3" max="3" width="19.33203125" customWidth="1"/>
  </cols>
  <sheetData>
    <row r="1" spans="1:3" x14ac:dyDescent="0.2">
      <c r="A1" t="s">
        <v>44</v>
      </c>
      <c r="B1" t="s">
        <v>101</v>
      </c>
      <c r="C1" t="s">
        <v>77</v>
      </c>
    </row>
    <row r="2" spans="1:3" x14ac:dyDescent="0.2">
      <c r="A2">
        <v>2022</v>
      </c>
      <c r="B2" t="s">
        <v>102</v>
      </c>
      <c r="C2">
        <v>133</v>
      </c>
    </row>
    <row r="3" spans="1:3" x14ac:dyDescent="0.2">
      <c r="A3">
        <v>2022</v>
      </c>
      <c r="B3" t="s">
        <v>103</v>
      </c>
      <c r="C3">
        <v>58</v>
      </c>
    </row>
    <row r="4" spans="1:3" x14ac:dyDescent="0.2">
      <c r="A4">
        <v>2022</v>
      </c>
      <c r="B4" t="s">
        <v>104</v>
      </c>
      <c r="C4">
        <v>301</v>
      </c>
    </row>
    <row r="5" spans="1:3" x14ac:dyDescent="0.2">
      <c r="A5">
        <v>2022</v>
      </c>
      <c r="B5" t="s">
        <v>105</v>
      </c>
      <c r="C5">
        <v>10</v>
      </c>
    </row>
    <row r="6" spans="1:3" x14ac:dyDescent="0.2">
      <c r="A6">
        <v>2022</v>
      </c>
      <c r="B6" t="s">
        <v>106</v>
      </c>
      <c r="C6">
        <v>478</v>
      </c>
    </row>
    <row r="7" spans="1:3" x14ac:dyDescent="0.2">
      <c r="A7">
        <v>2022</v>
      </c>
      <c r="B7" t="s">
        <v>107</v>
      </c>
      <c r="C7">
        <v>950</v>
      </c>
    </row>
    <row r="8" spans="1:3" x14ac:dyDescent="0.2">
      <c r="A8">
        <v>2022</v>
      </c>
      <c r="B8" t="s">
        <v>108</v>
      </c>
      <c r="C8">
        <v>536</v>
      </c>
    </row>
    <row r="9" spans="1:3" x14ac:dyDescent="0.2">
      <c r="A9">
        <v>2022</v>
      </c>
      <c r="B9" t="s">
        <v>109</v>
      </c>
      <c r="C9">
        <v>234</v>
      </c>
    </row>
    <row r="10" spans="1:3" x14ac:dyDescent="0.2">
      <c r="A10">
        <v>2022</v>
      </c>
      <c r="B10" t="s">
        <v>110</v>
      </c>
      <c r="C10">
        <v>16</v>
      </c>
    </row>
    <row r="11" spans="1:3" x14ac:dyDescent="0.2">
      <c r="A11">
        <v>2022</v>
      </c>
      <c r="B11" t="s">
        <v>111</v>
      </c>
      <c r="C11">
        <v>161</v>
      </c>
    </row>
    <row r="12" spans="1:3" x14ac:dyDescent="0.2">
      <c r="A12">
        <v>2022</v>
      </c>
      <c r="B12" t="s">
        <v>112</v>
      </c>
      <c r="C12">
        <v>359</v>
      </c>
    </row>
    <row r="13" spans="1:3" x14ac:dyDescent="0.2">
      <c r="A13">
        <v>2022</v>
      </c>
      <c r="B13" t="s">
        <v>113</v>
      </c>
      <c r="C13">
        <v>95</v>
      </c>
    </row>
    <row r="14" spans="1:3" x14ac:dyDescent="0.2">
      <c r="A14">
        <v>2022</v>
      </c>
      <c r="B14" t="s">
        <v>114</v>
      </c>
      <c r="C14">
        <v>76</v>
      </c>
    </row>
    <row r="15" spans="1:3" x14ac:dyDescent="0.2">
      <c r="A15">
        <v>2022</v>
      </c>
      <c r="B15" t="s">
        <v>115</v>
      </c>
      <c r="C15">
        <v>623</v>
      </c>
    </row>
    <row r="16" spans="1:3" x14ac:dyDescent="0.2">
      <c r="A16">
        <v>2022</v>
      </c>
      <c r="B16" t="s">
        <v>75</v>
      </c>
      <c r="C16">
        <v>4029</v>
      </c>
    </row>
    <row r="17" spans="1:3" x14ac:dyDescent="0.2">
      <c r="A17">
        <v>2026</v>
      </c>
      <c r="B17" t="s">
        <v>102</v>
      </c>
      <c r="C17">
        <v>137</v>
      </c>
    </row>
    <row r="18" spans="1:3" x14ac:dyDescent="0.2">
      <c r="A18">
        <v>2026</v>
      </c>
      <c r="B18" t="s">
        <v>103</v>
      </c>
      <c r="C18">
        <v>74</v>
      </c>
    </row>
    <row r="19" spans="1:3" x14ac:dyDescent="0.2">
      <c r="A19">
        <v>2026</v>
      </c>
      <c r="B19" t="s">
        <v>104</v>
      </c>
      <c r="C19">
        <v>302</v>
      </c>
    </row>
    <row r="20" spans="1:3" x14ac:dyDescent="0.2">
      <c r="A20">
        <v>2026</v>
      </c>
      <c r="B20" t="s">
        <v>105</v>
      </c>
      <c r="C20">
        <v>11</v>
      </c>
    </row>
    <row r="21" spans="1:3" x14ac:dyDescent="0.2">
      <c r="A21">
        <v>2026</v>
      </c>
      <c r="B21" t="s">
        <v>106</v>
      </c>
      <c r="C21">
        <v>570</v>
      </c>
    </row>
    <row r="22" spans="1:3" x14ac:dyDescent="0.2">
      <c r="A22">
        <v>2026</v>
      </c>
      <c r="B22" t="s">
        <v>107</v>
      </c>
      <c r="C22">
        <v>910</v>
      </c>
    </row>
    <row r="23" spans="1:3" x14ac:dyDescent="0.2">
      <c r="A23">
        <v>2026</v>
      </c>
      <c r="B23" t="s">
        <v>108</v>
      </c>
      <c r="C23">
        <v>485</v>
      </c>
    </row>
    <row r="24" spans="1:3" x14ac:dyDescent="0.2">
      <c r="A24">
        <v>2026</v>
      </c>
      <c r="B24" t="s">
        <v>109</v>
      </c>
      <c r="C24">
        <v>228</v>
      </c>
    </row>
    <row r="25" spans="1:3" x14ac:dyDescent="0.2">
      <c r="A25">
        <v>2026</v>
      </c>
      <c r="B25" t="s">
        <v>110</v>
      </c>
      <c r="C25">
        <v>18</v>
      </c>
    </row>
    <row r="26" spans="1:3" x14ac:dyDescent="0.2">
      <c r="A26">
        <v>2026</v>
      </c>
      <c r="B26" t="s">
        <v>111</v>
      </c>
      <c r="C26">
        <v>160</v>
      </c>
    </row>
    <row r="27" spans="1:3" x14ac:dyDescent="0.2">
      <c r="A27">
        <v>2026</v>
      </c>
      <c r="B27" t="s">
        <v>112</v>
      </c>
      <c r="C27">
        <v>365</v>
      </c>
    </row>
    <row r="28" spans="1:3" x14ac:dyDescent="0.2">
      <c r="A28">
        <v>2026</v>
      </c>
      <c r="B28" t="s">
        <v>113</v>
      </c>
      <c r="C28">
        <v>99</v>
      </c>
    </row>
    <row r="29" spans="1:3" x14ac:dyDescent="0.2">
      <c r="A29">
        <v>2026</v>
      </c>
      <c r="B29" t="s">
        <v>114</v>
      </c>
      <c r="C29">
        <v>224</v>
      </c>
    </row>
    <row r="30" spans="1:3" x14ac:dyDescent="0.2">
      <c r="A30">
        <v>2026</v>
      </c>
      <c r="B30" t="s">
        <v>115</v>
      </c>
      <c r="C30">
        <v>551</v>
      </c>
    </row>
    <row r="31" spans="1:3" x14ac:dyDescent="0.2">
      <c r="A31">
        <v>2026</v>
      </c>
      <c r="B31" t="s">
        <v>75</v>
      </c>
      <c r="C31">
        <v>4134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5"/>
  <dimension ref="A1:D19"/>
  <sheetViews>
    <sheetView workbookViewId="0">
      <selection activeCell="O56" sqref="O56"/>
    </sheetView>
  </sheetViews>
  <sheetFormatPr baseColWidth="10" defaultRowHeight="16" x14ac:dyDescent="0.2"/>
  <sheetData>
    <row r="1" spans="1:4" x14ac:dyDescent="0.2">
      <c r="A1" t="s">
        <v>21</v>
      </c>
      <c r="B1" t="s">
        <v>58</v>
      </c>
      <c r="C1" t="s">
        <v>5</v>
      </c>
      <c r="D1" t="s">
        <v>25</v>
      </c>
    </row>
    <row r="2" spans="1:4" x14ac:dyDescent="0.2">
      <c r="A2" t="s">
        <v>10</v>
      </c>
      <c r="B2">
        <v>4.5</v>
      </c>
      <c r="C2">
        <v>2022</v>
      </c>
      <c r="D2" t="s">
        <v>26</v>
      </c>
    </row>
    <row r="3" spans="1:4" x14ac:dyDescent="0.2">
      <c r="A3" t="s">
        <v>3</v>
      </c>
      <c r="B3">
        <v>27.5</v>
      </c>
      <c r="C3">
        <v>2022</v>
      </c>
      <c r="D3" t="s">
        <v>27</v>
      </c>
    </row>
    <row r="4" spans="1:4" x14ac:dyDescent="0.2">
      <c r="A4" t="s">
        <v>11</v>
      </c>
      <c r="B4">
        <v>39.9</v>
      </c>
      <c r="C4">
        <v>2022</v>
      </c>
      <c r="D4" t="s">
        <v>28</v>
      </c>
    </row>
    <row r="5" spans="1:4" x14ac:dyDescent="0.2">
      <c r="A5" t="s">
        <v>22</v>
      </c>
      <c r="B5">
        <v>16.8</v>
      </c>
      <c r="C5">
        <v>2022</v>
      </c>
      <c r="D5" t="s">
        <v>29</v>
      </c>
    </row>
    <row r="6" spans="1:4" x14ac:dyDescent="0.2">
      <c r="A6" t="s">
        <v>23</v>
      </c>
      <c r="B6">
        <v>8.8000000000000007</v>
      </c>
      <c r="C6">
        <v>2022</v>
      </c>
      <c r="D6" t="s">
        <v>30</v>
      </c>
    </row>
    <row r="7" spans="1:4" x14ac:dyDescent="0.2">
      <c r="A7" t="s">
        <v>24</v>
      </c>
      <c r="B7">
        <v>2.5</v>
      </c>
      <c r="C7">
        <v>2022</v>
      </c>
      <c r="D7" t="s">
        <v>31</v>
      </c>
    </row>
    <row r="8" spans="1:4" x14ac:dyDescent="0.2">
      <c r="A8" t="s">
        <v>10</v>
      </c>
      <c r="B8">
        <v>1.4</v>
      </c>
      <c r="C8">
        <v>2026</v>
      </c>
      <c r="D8" t="s">
        <v>26</v>
      </c>
    </row>
    <row r="9" spans="1:4" x14ac:dyDescent="0.2">
      <c r="A9" t="s">
        <v>3</v>
      </c>
      <c r="B9">
        <v>25.9</v>
      </c>
      <c r="C9">
        <v>2026</v>
      </c>
      <c r="D9" t="s">
        <v>27</v>
      </c>
    </row>
    <row r="10" spans="1:4" x14ac:dyDescent="0.2">
      <c r="A10" t="s">
        <v>11</v>
      </c>
      <c r="B10">
        <v>41.4</v>
      </c>
      <c r="C10">
        <v>2026</v>
      </c>
      <c r="D10" t="s">
        <v>28</v>
      </c>
    </row>
    <row r="11" spans="1:4" x14ac:dyDescent="0.2">
      <c r="A11" t="s">
        <v>22</v>
      </c>
      <c r="B11">
        <v>21.4</v>
      </c>
      <c r="C11">
        <v>2026</v>
      </c>
      <c r="D11" t="s">
        <v>29</v>
      </c>
    </row>
    <row r="12" spans="1:4" x14ac:dyDescent="0.2">
      <c r="A12" t="s">
        <v>23</v>
      </c>
      <c r="B12">
        <v>8</v>
      </c>
      <c r="C12">
        <v>2026</v>
      </c>
      <c r="D12" t="s">
        <v>30</v>
      </c>
    </row>
    <row r="13" spans="1:4" x14ac:dyDescent="0.2">
      <c r="A13" t="s">
        <v>24</v>
      </c>
      <c r="B13">
        <v>2</v>
      </c>
      <c r="C13">
        <v>2026</v>
      </c>
      <c r="D13" t="s">
        <v>31</v>
      </c>
    </row>
    <row r="14" spans="1:4" x14ac:dyDescent="0.2">
      <c r="A14" t="s">
        <v>10</v>
      </c>
      <c r="B14">
        <v>1.3</v>
      </c>
      <c r="C14">
        <v>2030</v>
      </c>
      <c r="D14" t="s">
        <v>26</v>
      </c>
    </row>
    <row r="15" spans="1:4" x14ac:dyDescent="0.2">
      <c r="A15" t="s">
        <v>3</v>
      </c>
      <c r="B15">
        <v>26.3</v>
      </c>
      <c r="C15">
        <v>2030</v>
      </c>
      <c r="D15" t="s">
        <v>27</v>
      </c>
    </row>
    <row r="16" spans="1:4" x14ac:dyDescent="0.2">
      <c r="A16" t="s">
        <v>11</v>
      </c>
      <c r="B16">
        <v>41.5</v>
      </c>
      <c r="C16">
        <v>2030</v>
      </c>
      <c r="D16" t="s">
        <v>28</v>
      </c>
    </row>
    <row r="17" spans="1:4" x14ac:dyDescent="0.2">
      <c r="A17" t="s">
        <v>22</v>
      </c>
      <c r="B17">
        <v>21.3</v>
      </c>
      <c r="C17">
        <v>2030</v>
      </c>
      <c r="D17" t="s">
        <v>29</v>
      </c>
    </row>
    <row r="18" spans="1:4" x14ac:dyDescent="0.2">
      <c r="A18" t="s">
        <v>23</v>
      </c>
      <c r="B18">
        <v>7.9</v>
      </c>
      <c r="C18">
        <v>2030</v>
      </c>
      <c r="D18" t="s">
        <v>30</v>
      </c>
    </row>
    <row r="19" spans="1:4" x14ac:dyDescent="0.2">
      <c r="A19" t="s">
        <v>24</v>
      </c>
      <c r="B19">
        <v>2.4</v>
      </c>
      <c r="C19">
        <v>2030</v>
      </c>
      <c r="D19" t="s">
        <v>31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6"/>
  <dimension ref="A1:E37"/>
  <sheetViews>
    <sheetView workbookViewId="0">
      <selection activeCell="E54" sqref="E54"/>
    </sheetView>
  </sheetViews>
  <sheetFormatPr baseColWidth="10" defaultRowHeight="16" x14ac:dyDescent="0.2"/>
  <cols>
    <col min="5" max="5" width="63" customWidth="1"/>
  </cols>
  <sheetData>
    <row r="1" spans="1:5" x14ac:dyDescent="0.2">
      <c r="A1" t="s">
        <v>21</v>
      </c>
      <c r="B1" t="s">
        <v>58</v>
      </c>
      <c r="C1" t="s">
        <v>66</v>
      </c>
      <c r="D1" t="s">
        <v>5</v>
      </c>
      <c r="E1" t="s">
        <v>65</v>
      </c>
    </row>
    <row r="2" spans="1:5" x14ac:dyDescent="0.2">
      <c r="A2" t="s">
        <v>10</v>
      </c>
      <c r="B2">
        <v>4</v>
      </c>
      <c r="C2" t="s">
        <v>67</v>
      </c>
      <c r="D2">
        <v>2022</v>
      </c>
      <c r="E2" t="s">
        <v>70</v>
      </c>
    </row>
    <row r="3" spans="1:5" x14ac:dyDescent="0.2">
      <c r="A3" t="s">
        <v>3</v>
      </c>
      <c r="B3">
        <v>28.4</v>
      </c>
      <c r="C3" t="s">
        <v>67</v>
      </c>
      <c r="D3">
        <v>2022</v>
      </c>
      <c r="E3" t="s">
        <v>69</v>
      </c>
    </row>
    <row r="4" spans="1:5" x14ac:dyDescent="0.2">
      <c r="A4" t="s">
        <v>11</v>
      </c>
      <c r="B4">
        <v>40.700000000000003</v>
      </c>
      <c r="C4" t="s">
        <v>67</v>
      </c>
      <c r="D4">
        <v>2022</v>
      </c>
      <c r="E4" t="s">
        <v>72</v>
      </c>
    </row>
    <row r="5" spans="1:5" x14ac:dyDescent="0.2">
      <c r="A5" t="s">
        <v>22</v>
      </c>
      <c r="B5">
        <v>16.100000000000001</v>
      </c>
      <c r="C5" t="s">
        <v>67</v>
      </c>
      <c r="D5">
        <v>2022</v>
      </c>
      <c r="E5" t="s">
        <v>68</v>
      </c>
    </row>
    <row r="6" spans="1:5" x14ac:dyDescent="0.2">
      <c r="A6" t="s">
        <v>23</v>
      </c>
      <c r="B6">
        <v>8.3000000000000007</v>
      </c>
      <c r="C6" t="s">
        <v>67</v>
      </c>
      <c r="D6">
        <v>2022</v>
      </c>
      <c r="E6" t="s">
        <v>71</v>
      </c>
    </row>
    <row r="7" spans="1:5" x14ac:dyDescent="0.2">
      <c r="A7" t="s">
        <v>24</v>
      </c>
      <c r="B7">
        <v>2.5</v>
      </c>
      <c r="C7" t="s">
        <v>67</v>
      </c>
      <c r="D7">
        <v>2022</v>
      </c>
      <c r="E7" t="s">
        <v>73</v>
      </c>
    </row>
    <row r="8" spans="1:5" x14ac:dyDescent="0.2">
      <c r="A8" t="s">
        <v>10</v>
      </c>
      <c r="B8">
        <v>1.4</v>
      </c>
      <c r="C8" t="s">
        <v>67</v>
      </c>
      <c r="D8">
        <v>2026</v>
      </c>
      <c r="E8" t="s">
        <v>70</v>
      </c>
    </row>
    <row r="9" spans="1:5" x14ac:dyDescent="0.2">
      <c r="A9" t="s">
        <v>3</v>
      </c>
      <c r="B9">
        <v>28.8</v>
      </c>
      <c r="C9" t="s">
        <v>67</v>
      </c>
      <c r="D9">
        <v>2026</v>
      </c>
      <c r="E9" t="s">
        <v>69</v>
      </c>
    </row>
    <row r="10" spans="1:5" x14ac:dyDescent="0.2">
      <c r="A10" t="s">
        <v>11</v>
      </c>
      <c r="B10">
        <v>44.4</v>
      </c>
      <c r="C10" t="s">
        <v>67</v>
      </c>
      <c r="D10">
        <v>2026</v>
      </c>
      <c r="E10" t="s">
        <v>72</v>
      </c>
    </row>
    <row r="11" spans="1:5" x14ac:dyDescent="0.2">
      <c r="A11" t="s">
        <v>22</v>
      </c>
      <c r="B11">
        <v>16.3</v>
      </c>
      <c r="C11" t="s">
        <v>67</v>
      </c>
      <c r="D11">
        <v>2026</v>
      </c>
      <c r="E11" t="s">
        <v>68</v>
      </c>
    </row>
    <row r="12" spans="1:5" x14ac:dyDescent="0.2">
      <c r="A12" t="s">
        <v>23</v>
      </c>
      <c r="B12">
        <v>7.2</v>
      </c>
      <c r="C12" t="s">
        <v>67</v>
      </c>
      <c r="D12">
        <v>2026</v>
      </c>
      <c r="E12" t="s">
        <v>71</v>
      </c>
    </row>
    <row r="13" spans="1:5" x14ac:dyDescent="0.2">
      <c r="A13" t="s">
        <v>24</v>
      </c>
      <c r="B13">
        <v>2</v>
      </c>
      <c r="C13" t="s">
        <v>67</v>
      </c>
      <c r="D13">
        <v>2026</v>
      </c>
      <c r="E13" t="s">
        <v>73</v>
      </c>
    </row>
    <row r="14" spans="1:5" x14ac:dyDescent="0.2">
      <c r="A14" t="s">
        <v>10</v>
      </c>
      <c r="B14">
        <v>0.1</v>
      </c>
      <c r="C14" t="s">
        <v>67</v>
      </c>
      <c r="D14">
        <v>2030</v>
      </c>
      <c r="E14" t="s">
        <v>70</v>
      </c>
    </row>
    <row r="15" spans="1:5" x14ac:dyDescent="0.2">
      <c r="A15" t="s">
        <v>3</v>
      </c>
      <c r="B15">
        <v>28.7</v>
      </c>
      <c r="C15" t="s">
        <v>67</v>
      </c>
      <c r="D15">
        <v>2030</v>
      </c>
      <c r="E15" t="s">
        <v>69</v>
      </c>
    </row>
    <row r="16" spans="1:5" x14ac:dyDescent="0.2">
      <c r="A16" t="s">
        <v>11</v>
      </c>
      <c r="B16">
        <v>46.2</v>
      </c>
      <c r="C16" t="s">
        <v>67</v>
      </c>
      <c r="D16">
        <v>2030</v>
      </c>
      <c r="E16" t="s">
        <v>72</v>
      </c>
    </row>
    <row r="17" spans="1:5" x14ac:dyDescent="0.2">
      <c r="A17" t="s">
        <v>22</v>
      </c>
      <c r="B17">
        <v>15.7</v>
      </c>
      <c r="C17" t="s">
        <v>67</v>
      </c>
      <c r="D17">
        <v>2030</v>
      </c>
      <c r="E17" t="s">
        <v>68</v>
      </c>
    </row>
    <row r="18" spans="1:5" x14ac:dyDescent="0.2">
      <c r="A18" t="s">
        <v>23</v>
      </c>
      <c r="B18">
        <v>6.9</v>
      </c>
      <c r="C18" t="s">
        <v>67</v>
      </c>
      <c r="D18">
        <v>2030</v>
      </c>
      <c r="E18" t="s">
        <v>71</v>
      </c>
    </row>
    <row r="19" spans="1:5" x14ac:dyDescent="0.2">
      <c r="A19" t="s">
        <v>24</v>
      </c>
      <c r="B19">
        <v>2.2999999999999998</v>
      </c>
      <c r="C19" t="s">
        <v>67</v>
      </c>
      <c r="D19">
        <v>2030</v>
      </c>
      <c r="E19" t="s">
        <v>73</v>
      </c>
    </row>
    <row r="20" spans="1:5" x14ac:dyDescent="0.2">
      <c r="A20" t="s">
        <v>10</v>
      </c>
      <c r="B20">
        <v>9.1999999999999993</v>
      </c>
      <c r="C20" t="s">
        <v>0</v>
      </c>
      <c r="D20">
        <v>2022</v>
      </c>
      <c r="E20" t="s">
        <v>70</v>
      </c>
    </row>
    <row r="21" spans="1:5" x14ac:dyDescent="0.2">
      <c r="A21" t="s">
        <v>3</v>
      </c>
      <c r="B21">
        <v>20</v>
      </c>
      <c r="C21" t="s">
        <v>0</v>
      </c>
      <c r="D21">
        <v>2022</v>
      </c>
      <c r="E21" t="s">
        <v>69</v>
      </c>
    </row>
    <row r="22" spans="1:5" x14ac:dyDescent="0.2">
      <c r="A22" t="s">
        <v>11</v>
      </c>
      <c r="B22">
        <v>32.299999999999997</v>
      </c>
      <c r="C22" t="s">
        <v>0</v>
      </c>
      <c r="D22">
        <v>2022</v>
      </c>
      <c r="E22" t="s">
        <v>72</v>
      </c>
    </row>
    <row r="23" spans="1:5" x14ac:dyDescent="0.2">
      <c r="A23" t="s">
        <v>22</v>
      </c>
      <c r="B23">
        <v>22.6</v>
      </c>
      <c r="C23" t="s">
        <v>0</v>
      </c>
      <c r="D23">
        <v>2022</v>
      </c>
      <c r="E23" t="s">
        <v>68</v>
      </c>
    </row>
    <row r="24" spans="1:5" x14ac:dyDescent="0.2">
      <c r="A24" t="s">
        <v>23</v>
      </c>
      <c r="B24">
        <v>13.5</v>
      </c>
      <c r="C24" t="s">
        <v>0</v>
      </c>
      <c r="D24">
        <v>2022</v>
      </c>
      <c r="E24" t="s">
        <v>71</v>
      </c>
    </row>
    <row r="25" spans="1:5" x14ac:dyDescent="0.2">
      <c r="A25" t="s">
        <v>24</v>
      </c>
      <c r="B25">
        <v>2.2999999999999998</v>
      </c>
      <c r="C25" t="s">
        <v>0</v>
      </c>
      <c r="D25">
        <v>2022</v>
      </c>
      <c r="E25" t="s">
        <v>73</v>
      </c>
    </row>
    <row r="26" spans="1:5" x14ac:dyDescent="0.2">
      <c r="A26" t="s">
        <v>10</v>
      </c>
      <c r="B26">
        <v>1.6</v>
      </c>
      <c r="C26" t="s">
        <v>0</v>
      </c>
      <c r="D26">
        <v>2026</v>
      </c>
      <c r="E26" t="s">
        <v>70</v>
      </c>
    </row>
    <row r="27" spans="1:5" x14ac:dyDescent="0.2">
      <c r="A27" t="s">
        <v>3</v>
      </c>
      <c r="B27">
        <v>19.399999999999999</v>
      </c>
      <c r="C27" t="s">
        <v>0</v>
      </c>
      <c r="D27">
        <v>2026</v>
      </c>
      <c r="E27" t="s">
        <v>69</v>
      </c>
    </row>
    <row r="28" spans="1:5" x14ac:dyDescent="0.2">
      <c r="A28" t="s">
        <v>11</v>
      </c>
      <c r="B28">
        <v>34.6</v>
      </c>
      <c r="C28" t="s">
        <v>0</v>
      </c>
      <c r="D28">
        <v>2026</v>
      </c>
      <c r="E28" t="s">
        <v>72</v>
      </c>
    </row>
    <row r="29" spans="1:5" x14ac:dyDescent="0.2">
      <c r="A29" t="s">
        <v>22</v>
      </c>
      <c r="B29">
        <v>32.9</v>
      </c>
      <c r="C29" t="s">
        <v>0</v>
      </c>
      <c r="D29">
        <v>2026</v>
      </c>
      <c r="E29" t="s">
        <v>68</v>
      </c>
    </row>
    <row r="30" spans="1:5" x14ac:dyDescent="0.2">
      <c r="A30" t="s">
        <v>23</v>
      </c>
      <c r="B30">
        <v>9.6999999999999993</v>
      </c>
      <c r="C30" t="s">
        <v>0</v>
      </c>
      <c r="D30">
        <v>2026</v>
      </c>
      <c r="E30" t="s">
        <v>71</v>
      </c>
    </row>
    <row r="31" spans="1:5" x14ac:dyDescent="0.2">
      <c r="A31" t="s">
        <v>24</v>
      </c>
      <c r="B31">
        <v>1.9</v>
      </c>
      <c r="C31" t="s">
        <v>0</v>
      </c>
      <c r="D31">
        <v>2026</v>
      </c>
      <c r="E31" t="s">
        <v>73</v>
      </c>
    </row>
    <row r="32" spans="1:5" x14ac:dyDescent="0.2">
      <c r="A32" t="s">
        <v>10</v>
      </c>
      <c r="B32">
        <v>2.6</v>
      </c>
      <c r="C32" t="s">
        <v>0</v>
      </c>
      <c r="D32">
        <v>2030</v>
      </c>
      <c r="E32" t="s">
        <v>70</v>
      </c>
    </row>
    <row r="33" spans="1:5" x14ac:dyDescent="0.2">
      <c r="A33" t="s">
        <v>3</v>
      </c>
      <c r="B33">
        <v>25.1</v>
      </c>
      <c r="C33" t="s">
        <v>0</v>
      </c>
      <c r="D33">
        <v>2030</v>
      </c>
      <c r="E33" t="s">
        <v>69</v>
      </c>
    </row>
    <row r="34" spans="1:5" x14ac:dyDescent="0.2">
      <c r="A34" t="s">
        <v>11</v>
      </c>
      <c r="B34">
        <v>37.799999999999997</v>
      </c>
      <c r="C34" t="s">
        <v>0</v>
      </c>
      <c r="D34">
        <v>2030</v>
      </c>
      <c r="E34" t="s">
        <v>72</v>
      </c>
    </row>
    <row r="35" spans="1:5" x14ac:dyDescent="0.2">
      <c r="A35" t="s">
        <v>22</v>
      </c>
      <c r="B35">
        <v>23.7</v>
      </c>
      <c r="C35" t="s">
        <v>0</v>
      </c>
      <c r="D35">
        <v>2030</v>
      </c>
      <c r="E35" t="s">
        <v>68</v>
      </c>
    </row>
    <row r="36" spans="1:5" x14ac:dyDescent="0.2">
      <c r="A36" t="s">
        <v>23</v>
      </c>
      <c r="B36">
        <v>8.3000000000000007</v>
      </c>
      <c r="C36" t="s">
        <v>0</v>
      </c>
      <c r="D36">
        <v>2030</v>
      </c>
      <c r="E36" t="s">
        <v>71</v>
      </c>
    </row>
    <row r="37" spans="1:5" x14ac:dyDescent="0.2">
      <c r="A37" t="s">
        <v>24</v>
      </c>
      <c r="B37">
        <v>2.5</v>
      </c>
      <c r="C37" t="s">
        <v>0</v>
      </c>
      <c r="D37">
        <v>2030</v>
      </c>
      <c r="E37" t="s">
        <v>73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7"/>
  <dimension ref="A1:C16"/>
  <sheetViews>
    <sheetView workbookViewId="0">
      <selection activeCell="B17" sqref="B17"/>
    </sheetView>
  </sheetViews>
  <sheetFormatPr baseColWidth="10" defaultRowHeight="16" x14ac:dyDescent="0.2"/>
  <sheetData>
    <row r="1" spans="1:3" x14ac:dyDescent="0.2">
      <c r="A1" t="s">
        <v>59</v>
      </c>
      <c r="B1" t="s">
        <v>58</v>
      </c>
      <c r="C1" t="s">
        <v>5</v>
      </c>
    </row>
    <row r="2" spans="1:3" x14ac:dyDescent="0.2">
      <c r="A2" t="s">
        <v>60</v>
      </c>
      <c r="B2">
        <v>50.1</v>
      </c>
      <c r="C2">
        <v>2022</v>
      </c>
    </row>
    <row r="3" spans="1:3" x14ac:dyDescent="0.2">
      <c r="A3" t="s">
        <v>61</v>
      </c>
      <c r="B3">
        <v>38.9</v>
      </c>
      <c r="C3">
        <v>2022</v>
      </c>
    </row>
    <row r="4" spans="1:3" x14ac:dyDescent="0.2">
      <c r="A4" t="s">
        <v>62</v>
      </c>
      <c r="B4">
        <v>5.9</v>
      </c>
      <c r="C4">
        <v>2022</v>
      </c>
    </row>
    <row r="5" spans="1:3" x14ac:dyDescent="0.2">
      <c r="A5" t="s">
        <v>63</v>
      </c>
      <c r="B5">
        <v>2.9</v>
      </c>
      <c r="C5">
        <v>2022</v>
      </c>
    </row>
    <row r="6" spans="1:3" x14ac:dyDescent="0.2">
      <c r="A6" t="s">
        <v>64</v>
      </c>
      <c r="B6">
        <v>2.2000000000000002</v>
      </c>
      <c r="C6">
        <v>2022</v>
      </c>
    </row>
    <row r="7" spans="1:3" x14ac:dyDescent="0.2">
      <c r="A7" t="s">
        <v>60</v>
      </c>
      <c r="B7">
        <v>56.1</v>
      </c>
      <c r="C7">
        <v>2026</v>
      </c>
    </row>
    <row r="8" spans="1:3" x14ac:dyDescent="0.2">
      <c r="A8" t="s">
        <v>61</v>
      </c>
      <c r="B8">
        <v>34.6</v>
      </c>
      <c r="C8">
        <v>2026</v>
      </c>
    </row>
    <row r="9" spans="1:3" x14ac:dyDescent="0.2">
      <c r="A9" t="s">
        <v>62</v>
      </c>
      <c r="B9">
        <v>5</v>
      </c>
      <c r="C9">
        <v>2026</v>
      </c>
    </row>
    <row r="10" spans="1:3" x14ac:dyDescent="0.2">
      <c r="A10" t="s">
        <v>63</v>
      </c>
      <c r="B10">
        <v>3.1</v>
      </c>
      <c r="C10">
        <v>2026</v>
      </c>
    </row>
    <row r="11" spans="1:3" x14ac:dyDescent="0.2">
      <c r="A11" t="s">
        <v>64</v>
      </c>
      <c r="B11">
        <v>1.2</v>
      </c>
      <c r="C11">
        <v>2026</v>
      </c>
    </row>
    <row r="12" spans="1:3" x14ac:dyDescent="0.2">
      <c r="A12" t="s">
        <v>60</v>
      </c>
      <c r="B12">
        <v>57.1</v>
      </c>
      <c r="C12">
        <v>2030</v>
      </c>
    </row>
    <row r="13" spans="1:3" x14ac:dyDescent="0.2">
      <c r="A13" t="s">
        <v>61</v>
      </c>
      <c r="B13">
        <v>33.5</v>
      </c>
      <c r="C13">
        <v>2030</v>
      </c>
    </row>
    <row r="14" spans="1:3" x14ac:dyDescent="0.2">
      <c r="A14" t="s">
        <v>62</v>
      </c>
      <c r="B14">
        <v>5</v>
      </c>
      <c r="C14">
        <v>2030</v>
      </c>
    </row>
    <row r="15" spans="1:3" x14ac:dyDescent="0.2">
      <c r="A15" t="s">
        <v>63</v>
      </c>
      <c r="B15">
        <v>3.1</v>
      </c>
      <c r="C15">
        <v>2030</v>
      </c>
    </row>
    <row r="16" spans="1:3" x14ac:dyDescent="0.2">
      <c r="A16" t="s">
        <v>64</v>
      </c>
      <c r="B16">
        <v>1.3</v>
      </c>
      <c r="C16">
        <v>2030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9"/>
  <sheetViews>
    <sheetView topLeftCell="A53" zoomScale="218" zoomScaleNormal="218" workbookViewId="0">
      <selection activeCell="A2" sqref="A2"/>
    </sheetView>
  </sheetViews>
  <sheetFormatPr baseColWidth="10" defaultRowHeight="16" x14ac:dyDescent="0.2"/>
  <cols>
    <col min="1" max="2" width="16.33203125" customWidth="1"/>
  </cols>
  <sheetData>
    <row r="1" spans="1:3" x14ac:dyDescent="0.2">
      <c r="A1" t="s">
        <v>242</v>
      </c>
      <c r="B1" t="s">
        <v>191</v>
      </c>
      <c r="C1" t="s">
        <v>192</v>
      </c>
    </row>
    <row r="2" spans="1:3" x14ac:dyDescent="0.2">
      <c r="A2" t="s">
        <v>243</v>
      </c>
      <c r="B2" t="s">
        <v>223</v>
      </c>
      <c r="C2" t="s">
        <v>226</v>
      </c>
    </row>
    <row r="3" spans="1:3" x14ac:dyDescent="0.2">
      <c r="A3" t="s">
        <v>243</v>
      </c>
      <c r="B3" t="s">
        <v>194</v>
      </c>
      <c r="C3" t="s">
        <v>10</v>
      </c>
    </row>
    <row r="4" spans="1:3" x14ac:dyDescent="0.2">
      <c r="A4" t="s">
        <v>243</v>
      </c>
      <c r="B4" t="s">
        <v>195</v>
      </c>
      <c r="C4" t="s">
        <v>3</v>
      </c>
    </row>
    <row r="5" spans="1:3" x14ac:dyDescent="0.2">
      <c r="A5" t="s">
        <v>243</v>
      </c>
      <c r="B5" t="s">
        <v>196</v>
      </c>
      <c r="C5" t="s">
        <v>11</v>
      </c>
    </row>
    <row r="6" spans="1:3" x14ac:dyDescent="0.2">
      <c r="A6" t="s">
        <v>243</v>
      </c>
      <c r="B6" t="s">
        <v>197</v>
      </c>
      <c r="C6" t="s">
        <v>22</v>
      </c>
    </row>
    <row r="7" spans="1:3" x14ac:dyDescent="0.2">
      <c r="A7" t="s">
        <v>243</v>
      </c>
      <c r="B7" t="s">
        <v>198</v>
      </c>
      <c r="C7" t="s">
        <v>23</v>
      </c>
    </row>
    <row r="8" spans="1:3" x14ac:dyDescent="0.2">
      <c r="A8" t="s">
        <v>243</v>
      </c>
      <c r="B8" t="s">
        <v>199</v>
      </c>
      <c r="C8" t="s">
        <v>24</v>
      </c>
    </row>
    <row r="9" spans="1:3" x14ac:dyDescent="0.2">
      <c r="A9" t="s">
        <v>243</v>
      </c>
      <c r="B9" t="s">
        <v>188</v>
      </c>
      <c r="C9" t="s">
        <v>189</v>
      </c>
    </row>
    <row r="10" spans="1:3" x14ac:dyDescent="0.2">
      <c r="A10" t="s">
        <v>243</v>
      </c>
      <c r="B10" t="s">
        <v>185</v>
      </c>
      <c r="C10" t="s">
        <v>186</v>
      </c>
    </row>
    <row r="11" spans="1:3" x14ac:dyDescent="0.2">
      <c r="A11" t="s">
        <v>243</v>
      </c>
      <c r="B11" t="s">
        <v>182</v>
      </c>
      <c r="C11" t="s">
        <v>183</v>
      </c>
    </row>
    <row r="12" spans="1:3" x14ac:dyDescent="0.2">
      <c r="A12" t="s">
        <v>243</v>
      </c>
      <c r="B12" t="s">
        <v>179</v>
      </c>
      <c r="C12" t="s">
        <v>180</v>
      </c>
    </row>
    <row r="13" spans="1:3" x14ac:dyDescent="0.2">
      <c r="A13" t="s">
        <v>243</v>
      </c>
      <c r="B13" t="s">
        <v>176</v>
      </c>
      <c r="C13" t="s">
        <v>177</v>
      </c>
    </row>
    <row r="14" spans="1:3" x14ac:dyDescent="0.2">
      <c r="A14" t="s">
        <v>243</v>
      </c>
      <c r="B14" t="s">
        <v>173</v>
      </c>
      <c r="C14" t="s">
        <v>174</v>
      </c>
    </row>
    <row r="15" spans="1:3" x14ac:dyDescent="0.2">
      <c r="A15" t="s">
        <v>244</v>
      </c>
      <c r="B15" t="s">
        <v>249</v>
      </c>
      <c r="C15" t="s">
        <v>226</v>
      </c>
    </row>
    <row r="16" spans="1:3" x14ac:dyDescent="0.2">
      <c r="A16" t="s">
        <v>244</v>
      </c>
      <c r="B16" t="s">
        <v>250</v>
      </c>
      <c r="C16" t="s">
        <v>10</v>
      </c>
    </row>
    <row r="17" spans="1:3" x14ac:dyDescent="0.2">
      <c r="A17" t="s">
        <v>244</v>
      </c>
      <c r="B17" t="s">
        <v>251</v>
      </c>
      <c r="C17" t="s">
        <v>3</v>
      </c>
    </row>
    <row r="18" spans="1:3" x14ac:dyDescent="0.2">
      <c r="A18" t="s">
        <v>244</v>
      </c>
      <c r="B18" t="s">
        <v>252</v>
      </c>
      <c r="C18" t="s">
        <v>11</v>
      </c>
    </row>
    <row r="19" spans="1:3" x14ac:dyDescent="0.2">
      <c r="A19" t="s">
        <v>244</v>
      </c>
      <c r="B19" t="s">
        <v>253</v>
      </c>
      <c r="C19" t="s">
        <v>22</v>
      </c>
    </row>
    <row r="20" spans="1:3" x14ac:dyDescent="0.2">
      <c r="A20" t="s">
        <v>244</v>
      </c>
      <c r="B20" t="s">
        <v>254</v>
      </c>
      <c r="C20" t="s">
        <v>23</v>
      </c>
    </row>
    <row r="21" spans="1:3" x14ac:dyDescent="0.2">
      <c r="A21" t="s">
        <v>244</v>
      </c>
      <c r="B21" t="s">
        <v>255</v>
      </c>
      <c r="C21" t="s">
        <v>24</v>
      </c>
    </row>
    <row r="22" spans="1:3" x14ac:dyDescent="0.2">
      <c r="A22" t="s">
        <v>244</v>
      </c>
      <c r="B22" t="s">
        <v>256</v>
      </c>
      <c r="C22" t="s">
        <v>189</v>
      </c>
    </row>
    <row r="23" spans="1:3" x14ac:dyDescent="0.2">
      <c r="A23" t="s">
        <v>244</v>
      </c>
      <c r="B23" t="s">
        <v>257</v>
      </c>
      <c r="C23" t="s">
        <v>186</v>
      </c>
    </row>
    <row r="24" spans="1:3" x14ac:dyDescent="0.2">
      <c r="A24" t="s">
        <v>244</v>
      </c>
      <c r="B24" t="s">
        <v>258</v>
      </c>
      <c r="C24" t="s">
        <v>183</v>
      </c>
    </row>
    <row r="25" spans="1:3" x14ac:dyDescent="0.2">
      <c r="A25" t="s">
        <v>244</v>
      </c>
      <c r="B25" t="s">
        <v>259</v>
      </c>
      <c r="C25" t="s">
        <v>180</v>
      </c>
    </row>
    <row r="26" spans="1:3" x14ac:dyDescent="0.2">
      <c r="A26" t="s">
        <v>244</v>
      </c>
      <c r="B26" t="s">
        <v>260</v>
      </c>
      <c r="C26" t="s">
        <v>177</v>
      </c>
    </row>
    <row r="27" spans="1:3" x14ac:dyDescent="0.2">
      <c r="A27" t="s">
        <v>244</v>
      </c>
      <c r="B27" t="s">
        <v>261</v>
      </c>
      <c r="C27" t="s">
        <v>174</v>
      </c>
    </row>
    <row r="28" spans="1:3" x14ac:dyDescent="0.2">
      <c r="A28" t="s">
        <v>245</v>
      </c>
      <c r="B28" t="s">
        <v>205</v>
      </c>
      <c r="C28" t="s">
        <v>226</v>
      </c>
    </row>
    <row r="29" spans="1:3" x14ac:dyDescent="0.2">
      <c r="A29" t="s">
        <v>245</v>
      </c>
      <c r="B29" t="s">
        <v>262</v>
      </c>
      <c r="C29" t="s">
        <v>10</v>
      </c>
    </row>
    <row r="30" spans="1:3" x14ac:dyDescent="0.2">
      <c r="A30" t="s">
        <v>245</v>
      </c>
      <c r="B30" t="s">
        <v>263</v>
      </c>
      <c r="C30" t="s">
        <v>3</v>
      </c>
    </row>
    <row r="31" spans="1:3" x14ac:dyDescent="0.2">
      <c r="A31" t="s">
        <v>245</v>
      </c>
      <c r="B31" t="s">
        <v>264</v>
      </c>
      <c r="C31" t="s">
        <v>11</v>
      </c>
    </row>
    <row r="32" spans="1:3" x14ac:dyDescent="0.2">
      <c r="A32" t="s">
        <v>245</v>
      </c>
      <c r="B32" t="s">
        <v>265</v>
      </c>
      <c r="C32" t="s">
        <v>22</v>
      </c>
    </row>
    <row r="33" spans="1:3" x14ac:dyDescent="0.2">
      <c r="A33" t="s">
        <v>245</v>
      </c>
      <c r="B33" t="s">
        <v>266</v>
      </c>
      <c r="C33" t="s">
        <v>23</v>
      </c>
    </row>
    <row r="34" spans="1:3" x14ac:dyDescent="0.2">
      <c r="A34" t="s">
        <v>245</v>
      </c>
      <c r="B34" t="s">
        <v>267</v>
      </c>
      <c r="C34" t="s">
        <v>24</v>
      </c>
    </row>
    <row r="35" spans="1:3" x14ac:dyDescent="0.2">
      <c r="A35" t="s">
        <v>245</v>
      </c>
      <c r="B35" t="s">
        <v>268</v>
      </c>
      <c r="C35" t="s">
        <v>189</v>
      </c>
    </row>
    <row r="36" spans="1:3" x14ac:dyDescent="0.2">
      <c r="A36" t="s">
        <v>245</v>
      </c>
      <c r="B36" t="s">
        <v>269</v>
      </c>
      <c r="C36" t="s">
        <v>186</v>
      </c>
    </row>
    <row r="37" spans="1:3" x14ac:dyDescent="0.2">
      <c r="A37" t="s">
        <v>245</v>
      </c>
      <c r="B37" t="s">
        <v>270</v>
      </c>
      <c r="C37" t="s">
        <v>183</v>
      </c>
    </row>
    <row r="38" spans="1:3" x14ac:dyDescent="0.2">
      <c r="A38" t="s">
        <v>245</v>
      </c>
      <c r="B38" t="s">
        <v>271</v>
      </c>
      <c r="C38" t="s">
        <v>180</v>
      </c>
    </row>
    <row r="39" spans="1:3" x14ac:dyDescent="0.2">
      <c r="A39" t="s">
        <v>245</v>
      </c>
      <c r="B39" t="s">
        <v>272</v>
      </c>
      <c r="C39" t="s">
        <v>177</v>
      </c>
    </row>
    <row r="40" spans="1:3" x14ac:dyDescent="0.2">
      <c r="A40" t="s">
        <v>245</v>
      </c>
      <c r="B40" t="s">
        <v>273</v>
      </c>
      <c r="C40" t="s">
        <v>174</v>
      </c>
    </row>
    <row r="41" spans="1:3" x14ac:dyDescent="0.2">
      <c r="A41" t="s">
        <v>246</v>
      </c>
      <c r="B41" t="s">
        <v>224</v>
      </c>
      <c r="C41" t="s">
        <v>226</v>
      </c>
    </row>
    <row r="42" spans="1:3" x14ac:dyDescent="0.2">
      <c r="A42" t="s">
        <v>246</v>
      </c>
      <c r="B42" t="s">
        <v>274</v>
      </c>
      <c r="C42" t="s">
        <v>10</v>
      </c>
    </row>
    <row r="43" spans="1:3" x14ac:dyDescent="0.2">
      <c r="A43" t="s">
        <v>246</v>
      </c>
      <c r="B43" t="s">
        <v>275</v>
      </c>
      <c r="C43" t="s">
        <v>3</v>
      </c>
    </row>
    <row r="44" spans="1:3" x14ac:dyDescent="0.2">
      <c r="A44" t="s">
        <v>246</v>
      </c>
      <c r="B44" t="s">
        <v>276</v>
      </c>
      <c r="C44" t="s">
        <v>11</v>
      </c>
    </row>
    <row r="45" spans="1:3" x14ac:dyDescent="0.2">
      <c r="A45" t="s">
        <v>246</v>
      </c>
      <c r="B45" t="s">
        <v>277</v>
      </c>
      <c r="C45" t="s">
        <v>22</v>
      </c>
    </row>
    <row r="46" spans="1:3" x14ac:dyDescent="0.2">
      <c r="A46" t="s">
        <v>246</v>
      </c>
      <c r="B46" t="s">
        <v>278</v>
      </c>
      <c r="C46" t="s">
        <v>23</v>
      </c>
    </row>
    <row r="47" spans="1:3" x14ac:dyDescent="0.2">
      <c r="A47" t="s">
        <v>246</v>
      </c>
      <c r="B47" t="s">
        <v>279</v>
      </c>
      <c r="C47" t="s">
        <v>24</v>
      </c>
    </row>
    <row r="48" spans="1:3" x14ac:dyDescent="0.2">
      <c r="A48" t="s">
        <v>246</v>
      </c>
      <c r="B48" t="s">
        <v>280</v>
      </c>
      <c r="C48" t="s">
        <v>189</v>
      </c>
    </row>
    <row r="49" spans="1:3" x14ac:dyDescent="0.2">
      <c r="A49" t="s">
        <v>246</v>
      </c>
      <c r="B49" t="s">
        <v>281</v>
      </c>
      <c r="C49" t="s">
        <v>186</v>
      </c>
    </row>
    <row r="50" spans="1:3" x14ac:dyDescent="0.2">
      <c r="A50" t="s">
        <v>246</v>
      </c>
      <c r="B50" t="s">
        <v>282</v>
      </c>
      <c r="C50" t="s">
        <v>183</v>
      </c>
    </row>
    <row r="51" spans="1:3" x14ac:dyDescent="0.2">
      <c r="A51" t="s">
        <v>246</v>
      </c>
      <c r="B51" t="s">
        <v>283</v>
      </c>
      <c r="C51" t="s">
        <v>180</v>
      </c>
    </row>
    <row r="52" spans="1:3" x14ac:dyDescent="0.2">
      <c r="A52" t="s">
        <v>246</v>
      </c>
      <c r="B52" t="s">
        <v>284</v>
      </c>
      <c r="C52" t="s">
        <v>177</v>
      </c>
    </row>
    <row r="53" spans="1:3" x14ac:dyDescent="0.2">
      <c r="A53" t="s">
        <v>246</v>
      </c>
      <c r="B53" t="s">
        <v>285</v>
      </c>
      <c r="C53" t="s">
        <v>174</v>
      </c>
    </row>
    <row r="54" spans="1:3" x14ac:dyDescent="0.2">
      <c r="A54" t="s">
        <v>247</v>
      </c>
      <c r="B54" t="s">
        <v>286</v>
      </c>
      <c r="C54" t="s">
        <v>226</v>
      </c>
    </row>
    <row r="55" spans="1:3" x14ac:dyDescent="0.2">
      <c r="A55" t="s">
        <v>247</v>
      </c>
      <c r="B55" t="s">
        <v>287</v>
      </c>
      <c r="C55" t="s">
        <v>10</v>
      </c>
    </row>
    <row r="56" spans="1:3" x14ac:dyDescent="0.2">
      <c r="A56" t="s">
        <v>247</v>
      </c>
      <c r="B56" t="s">
        <v>288</v>
      </c>
      <c r="C56" t="s">
        <v>3</v>
      </c>
    </row>
    <row r="57" spans="1:3" x14ac:dyDescent="0.2">
      <c r="A57" t="s">
        <v>247</v>
      </c>
      <c r="B57" t="s">
        <v>289</v>
      </c>
      <c r="C57" t="s">
        <v>11</v>
      </c>
    </row>
    <row r="58" spans="1:3" x14ac:dyDescent="0.2">
      <c r="A58" t="s">
        <v>247</v>
      </c>
      <c r="B58" t="s">
        <v>290</v>
      </c>
      <c r="C58" t="s">
        <v>22</v>
      </c>
    </row>
    <row r="59" spans="1:3" x14ac:dyDescent="0.2">
      <c r="A59" t="s">
        <v>247</v>
      </c>
      <c r="B59" t="s">
        <v>291</v>
      </c>
      <c r="C59" t="s">
        <v>23</v>
      </c>
    </row>
    <row r="60" spans="1:3" x14ac:dyDescent="0.2">
      <c r="A60" t="s">
        <v>247</v>
      </c>
      <c r="B60" t="s">
        <v>292</v>
      </c>
      <c r="C60" t="s">
        <v>24</v>
      </c>
    </row>
    <row r="61" spans="1:3" x14ac:dyDescent="0.2">
      <c r="A61" t="s">
        <v>247</v>
      </c>
      <c r="B61" t="s">
        <v>293</v>
      </c>
      <c r="C61" t="s">
        <v>189</v>
      </c>
    </row>
    <row r="62" spans="1:3" x14ac:dyDescent="0.2">
      <c r="A62" t="s">
        <v>247</v>
      </c>
      <c r="B62" t="s">
        <v>294</v>
      </c>
      <c r="C62" t="s">
        <v>186</v>
      </c>
    </row>
    <row r="63" spans="1:3" x14ac:dyDescent="0.2">
      <c r="A63" t="s">
        <v>247</v>
      </c>
      <c r="B63" t="s">
        <v>295</v>
      </c>
      <c r="C63" t="s">
        <v>183</v>
      </c>
    </row>
    <row r="64" spans="1:3" x14ac:dyDescent="0.2">
      <c r="A64" t="s">
        <v>247</v>
      </c>
      <c r="B64" t="s">
        <v>296</v>
      </c>
      <c r="C64" t="s">
        <v>180</v>
      </c>
    </row>
    <row r="65" spans="1:3" x14ac:dyDescent="0.2">
      <c r="A65" t="s">
        <v>247</v>
      </c>
      <c r="B65" t="s">
        <v>297</v>
      </c>
      <c r="C65" t="s">
        <v>177</v>
      </c>
    </row>
    <row r="66" spans="1:3" x14ac:dyDescent="0.2">
      <c r="A66" t="s">
        <v>247</v>
      </c>
      <c r="B66" t="s">
        <v>298</v>
      </c>
      <c r="C66" t="s">
        <v>174</v>
      </c>
    </row>
    <row r="67" spans="1:3" x14ac:dyDescent="0.2">
      <c r="A67" t="s">
        <v>248</v>
      </c>
      <c r="B67" t="s">
        <v>344</v>
      </c>
      <c r="C67" t="s">
        <v>226</v>
      </c>
    </row>
    <row r="68" spans="1:3" x14ac:dyDescent="0.2">
      <c r="A68" t="s">
        <v>248</v>
      </c>
      <c r="B68" t="s">
        <v>345</v>
      </c>
      <c r="C68" t="s">
        <v>10</v>
      </c>
    </row>
    <row r="69" spans="1:3" x14ac:dyDescent="0.2">
      <c r="A69" t="s">
        <v>248</v>
      </c>
      <c r="B69" t="s">
        <v>346</v>
      </c>
      <c r="C69" t="s">
        <v>3</v>
      </c>
    </row>
    <row r="70" spans="1:3" x14ac:dyDescent="0.2">
      <c r="A70" t="s">
        <v>248</v>
      </c>
      <c r="B70" t="s">
        <v>347</v>
      </c>
      <c r="C70" t="s">
        <v>11</v>
      </c>
    </row>
    <row r="71" spans="1:3" x14ac:dyDescent="0.2">
      <c r="A71" t="s">
        <v>248</v>
      </c>
      <c r="B71" t="s">
        <v>348</v>
      </c>
      <c r="C71" t="s">
        <v>22</v>
      </c>
    </row>
    <row r="72" spans="1:3" x14ac:dyDescent="0.2">
      <c r="A72" t="s">
        <v>248</v>
      </c>
      <c r="B72" t="s">
        <v>349</v>
      </c>
      <c r="C72" t="s">
        <v>23</v>
      </c>
    </row>
    <row r="73" spans="1:3" x14ac:dyDescent="0.2">
      <c r="A73" t="s">
        <v>248</v>
      </c>
      <c r="B73" t="s">
        <v>350</v>
      </c>
      <c r="C73" t="s">
        <v>24</v>
      </c>
    </row>
    <row r="74" spans="1:3" x14ac:dyDescent="0.2">
      <c r="A74" t="s">
        <v>248</v>
      </c>
      <c r="B74" s="2" t="s">
        <v>351</v>
      </c>
      <c r="C74" t="s">
        <v>189</v>
      </c>
    </row>
    <row r="75" spans="1:3" x14ac:dyDescent="0.2">
      <c r="A75" t="s">
        <v>248</v>
      </c>
      <c r="B75" s="2" t="s">
        <v>352</v>
      </c>
      <c r="C75" t="s">
        <v>186</v>
      </c>
    </row>
    <row r="76" spans="1:3" x14ac:dyDescent="0.2">
      <c r="A76" t="s">
        <v>248</v>
      </c>
      <c r="B76" s="2" t="s">
        <v>353</v>
      </c>
      <c r="C76" t="s">
        <v>183</v>
      </c>
    </row>
    <row r="77" spans="1:3" x14ac:dyDescent="0.2">
      <c r="A77" t="s">
        <v>248</v>
      </c>
      <c r="B77" s="2" t="s">
        <v>354</v>
      </c>
      <c r="C77" t="s">
        <v>180</v>
      </c>
    </row>
    <row r="78" spans="1:3" x14ac:dyDescent="0.2">
      <c r="A78" t="s">
        <v>248</v>
      </c>
      <c r="B78" s="2" t="s">
        <v>355</v>
      </c>
      <c r="C78" t="s">
        <v>177</v>
      </c>
    </row>
    <row r="79" spans="1:3" x14ac:dyDescent="0.2">
      <c r="A79" t="s">
        <v>248</v>
      </c>
      <c r="B79" s="2" t="s">
        <v>356</v>
      </c>
      <c r="C79" t="s">
        <v>174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9"/>
  <dimension ref="A1:C15"/>
  <sheetViews>
    <sheetView zoomScale="140" zoomScaleNormal="140" workbookViewId="0">
      <selection activeCell="D16" sqref="D16"/>
    </sheetView>
  </sheetViews>
  <sheetFormatPr baseColWidth="10" defaultRowHeight="16" x14ac:dyDescent="0.2"/>
  <sheetData>
    <row r="1" spans="1:3" x14ac:dyDescent="0.2">
      <c r="A1" s="1" t="s">
        <v>5</v>
      </c>
      <c r="B1" s="1" t="s">
        <v>4</v>
      </c>
      <c r="C1" s="1" t="s">
        <v>6</v>
      </c>
    </row>
    <row r="2" spans="1:3" x14ac:dyDescent="0.2">
      <c r="A2" s="1">
        <v>2012</v>
      </c>
      <c r="B2" s="1">
        <v>164</v>
      </c>
      <c r="C2" s="1">
        <v>45</v>
      </c>
    </row>
    <row r="3" spans="1:3" x14ac:dyDescent="0.2">
      <c r="A3" s="1">
        <v>2013</v>
      </c>
      <c r="B3" s="1">
        <v>188</v>
      </c>
      <c r="C3" s="1">
        <v>51</v>
      </c>
    </row>
    <row r="4" spans="1:3" x14ac:dyDescent="0.2">
      <c r="A4" s="1">
        <v>2014</v>
      </c>
      <c r="B4" s="1">
        <v>203</v>
      </c>
      <c r="C4" s="1">
        <v>55</v>
      </c>
    </row>
    <row r="5" spans="1:3" x14ac:dyDescent="0.2">
      <c r="A5" s="1">
        <v>2015</v>
      </c>
      <c r="B5" s="1">
        <v>220</v>
      </c>
      <c r="C5" s="1">
        <v>59</v>
      </c>
    </row>
    <row r="6" spans="1:3" x14ac:dyDescent="0.2">
      <c r="A6" s="1">
        <v>2016</v>
      </c>
      <c r="B6" s="1">
        <v>233</v>
      </c>
      <c r="C6" s="1">
        <v>63</v>
      </c>
    </row>
    <row r="7" spans="1:3" x14ac:dyDescent="0.2">
      <c r="A7" s="1">
        <v>2017</v>
      </c>
      <c r="B7" s="1">
        <v>248</v>
      </c>
      <c r="C7" s="1">
        <v>66</v>
      </c>
    </row>
    <row r="8" spans="1:3" x14ac:dyDescent="0.2">
      <c r="A8" s="1">
        <v>2018</v>
      </c>
      <c r="B8" s="1">
        <v>258</v>
      </c>
      <c r="C8" s="1">
        <v>71</v>
      </c>
    </row>
    <row r="9" spans="1:3" x14ac:dyDescent="0.2">
      <c r="A9" s="1">
        <v>2019</v>
      </c>
      <c r="B9" s="1">
        <v>272</v>
      </c>
      <c r="C9" s="1">
        <v>123</v>
      </c>
    </row>
    <row r="10" spans="1:3" x14ac:dyDescent="0.2">
      <c r="A10" s="1">
        <v>2020</v>
      </c>
      <c r="B10" s="1">
        <v>261</v>
      </c>
      <c r="C10" s="1">
        <v>170</v>
      </c>
    </row>
    <row r="11" spans="1:3" x14ac:dyDescent="0.2">
      <c r="A11" s="1">
        <v>2021</v>
      </c>
      <c r="B11" s="1">
        <v>258</v>
      </c>
      <c r="C11" s="1">
        <v>195</v>
      </c>
    </row>
    <row r="12" spans="1:3" x14ac:dyDescent="0.2">
      <c r="A12" s="1">
        <v>2022</v>
      </c>
      <c r="B12" s="1">
        <v>256</v>
      </c>
      <c r="C12" s="1">
        <v>218</v>
      </c>
    </row>
    <row r="13" spans="1:3" x14ac:dyDescent="0.2">
      <c r="A13" s="1">
        <v>2023</v>
      </c>
      <c r="B13" s="1">
        <v>253</v>
      </c>
      <c r="C13" s="1">
        <v>254</v>
      </c>
    </row>
    <row r="14" spans="1:3" x14ac:dyDescent="0.2">
      <c r="A14" s="1">
        <v>2024</v>
      </c>
      <c r="B14" s="1">
        <v>251</v>
      </c>
      <c r="C14" s="1">
        <v>282</v>
      </c>
    </row>
    <row r="15" spans="1:3" x14ac:dyDescent="0.2">
      <c r="A15" s="1">
        <v>2025</v>
      </c>
      <c r="B15" s="1">
        <v>250</v>
      </c>
      <c r="C15" s="1">
        <v>320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10"/>
  <dimension ref="A1:C15"/>
  <sheetViews>
    <sheetView workbookViewId="0">
      <selection activeCell="K64" sqref="K64"/>
    </sheetView>
  </sheetViews>
  <sheetFormatPr baseColWidth="10" defaultRowHeight="16" x14ac:dyDescent="0.2"/>
  <sheetData>
    <row r="1" spans="1:3" x14ac:dyDescent="0.2">
      <c r="A1" s="1" t="s">
        <v>5</v>
      </c>
      <c r="B1" s="1" t="s">
        <v>4</v>
      </c>
      <c r="C1" s="1" t="s">
        <v>6</v>
      </c>
    </row>
    <row r="2" spans="1:3" x14ac:dyDescent="0.2">
      <c r="A2" s="1">
        <v>2012</v>
      </c>
      <c r="B2" s="1">
        <v>164</v>
      </c>
      <c r="C2" s="1">
        <v>41</v>
      </c>
    </row>
    <row r="3" spans="1:3" x14ac:dyDescent="0.2">
      <c r="A3" s="1">
        <v>2013</v>
      </c>
      <c r="B3" s="1">
        <v>188</v>
      </c>
      <c r="C3" s="1">
        <v>47</v>
      </c>
    </row>
    <row r="4" spans="1:3" x14ac:dyDescent="0.2">
      <c r="A4" s="1">
        <v>2014</v>
      </c>
      <c r="B4" s="1">
        <v>203</v>
      </c>
      <c r="C4" s="1">
        <v>51</v>
      </c>
    </row>
    <row r="5" spans="1:3" x14ac:dyDescent="0.2">
      <c r="A5" s="1">
        <v>2015</v>
      </c>
      <c r="B5" s="1">
        <v>220</v>
      </c>
      <c r="C5" s="1">
        <v>55</v>
      </c>
    </row>
    <row r="6" spans="1:3" x14ac:dyDescent="0.2">
      <c r="A6" s="1">
        <v>2016</v>
      </c>
      <c r="B6" s="1">
        <v>233</v>
      </c>
      <c r="C6" s="1">
        <v>58</v>
      </c>
    </row>
    <row r="7" spans="1:3" x14ac:dyDescent="0.2">
      <c r="A7" s="1">
        <v>2017</v>
      </c>
      <c r="B7" s="1">
        <v>248</v>
      </c>
      <c r="C7" s="1">
        <v>62</v>
      </c>
    </row>
    <row r="8" spans="1:3" x14ac:dyDescent="0.2">
      <c r="A8" s="1">
        <v>2018</v>
      </c>
      <c r="B8" s="1">
        <v>259</v>
      </c>
      <c r="C8" s="1">
        <v>73</v>
      </c>
    </row>
    <row r="9" spans="1:3" x14ac:dyDescent="0.2">
      <c r="A9" s="1">
        <v>2019</v>
      </c>
      <c r="B9" s="1">
        <v>274</v>
      </c>
      <c r="C9" s="1">
        <v>77</v>
      </c>
    </row>
    <row r="10" spans="1:3" x14ac:dyDescent="0.2">
      <c r="A10" s="1">
        <v>2020</v>
      </c>
      <c r="B10" s="1">
        <v>293</v>
      </c>
      <c r="C10" s="1">
        <v>83</v>
      </c>
    </row>
    <row r="11" spans="1:3" x14ac:dyDescent="0.2">
      <c r="A11" s="1">
        <v>2021</v>
      </c>
      <c r="B11" s="1">
        <v>298</v>
      </c>
      <c r="C11" s="1">
        <v>94</v>
      </c>
    </row>
    <row r="12" spans="1:3" x14ac:dyDescent="0.2">
      <c r="A12" s="1">
        <v>2022</v>
      </c>
      <c r="B12" s="1">
        <v>312</v>
      </c>
      <c r="C12" s="1">
        <v>99</v>
      </c>
    </row>
    <row r="13" spans="1:3" x14ac:dyDescent="0.2">
      <c r="A13" s="1">
        <v>2023</v>
      </c>
      <c r="B13" s="1">
        <v>330</v>
      </c>
      <c r="C13" s="1">
        <v>104</v>
      </c>
    </row>
    <row r="14" spans="1:3" x14ac:dyDescent="0.2">
      <c r="A14" s="1">
        <v>2024</v>
      </c>
      <c r="B14" s="1">
        <v>347</v>
      </c>
      <c r="C14" s="1">
        <v>109</v>
      </c>
    </row>
    <row r="15" spans="1:3" x14ac:dyDescent="0.2">
      <c r="A15" s="1">
        <v>2025</v>
      </c>
      <c r="B15" s="1">
        <v>367</v>
      </c>
      <c r="C15" s="1">
        <v>116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11"/>
  <dimension ref="A1:J7"/>
  <sheetViews>
    <sheetView topLeftCell="A23" zoomScale="140" zoomScaleNormal="140" workbookViewId="0">
      <selection activeCell="J2" sqref="J2"/>
    </sheetView>
  </sheetViews>
  <sheetFormatPr baseColWidth="10" defaultRowHeight="16" x14ac:dyDescent="0.2"/>
  <cols>
    <col min="3" max="3" width="27.6640625" customWidth="1"/>
    <col min="4" max="4" width="15.33203125" customWidth="1"/>
    <col min="5" max="5" width="17.1640625" customWidth="1"/>
    <col min="6" max="6" width="18" customWidth="1"/>
    <col min="8" max="8" width="19.83203125" customWidth="1"/>
  </cols>
  <sheetData>
    <row r="1" spans="1:10" x14ac:dyDescent="0.2">
      <c r="A1" t="s">
        <v>5</v>
      </c>
      <c r="B1" t="s">
        <v>7</v>
      </c>
      <c r="C1" t="s">
        <v>15</v>
      </c>
      <c r="D1" t="s">
        <v>12</v>
      </c>
      <c r="E1" t="s">
        <v>13</v>
      </c>
      <c r="F1" t="s">
        <v>14</v>
      </c>
      <c r="G1" t="s">
        <v>9</v>
      </c>
      <c r="H1" t="s">
        <v>340</v>
      </c>
      <c r="I1" t="s">
        <v>341</v>
      </c>
      <c r="J1" t="s">
        <v>342</v>
      </c>
    </row>
    <row r="2" spans="1:10" x14ac:dyDescent="0.2">
      <c r="A2">
        <v>2013</v>
      </c>
      <c r="B2">
        <v>1650</v>
      </c>
      <c r="C2">
        <v>0.55000000000000004</v>
      </c>
      <c r="D2">
        <v>0.39</v>
      </c>
      <c r="E2">
        <v>0.11</v>
      </c>
      <c r="F2">
        <v>0.03</v>
      </c>
      <c r="H2">
        <v>0.47</v>
      </c>
      <c r="I2">
        <v>0.11</v>
      </c>
      <c r="J2">
        <v>0.03</v>
      </c>
    </row>
    <row r="3" spans="1:10" x14ac:dyDescent="0.2">
      <c r="A3">
        <v>2015</v>
      </c>
      <c r="B3">
        <v>1545</v>
      </c>
      <c r="C3">
        <v>0.5</v>
      </c>
      <c r="D3">
        <v>0.38</v>
      </c>
      <c r="E3">
        <v>0.2</v>
      </c>
      <c r="F3">
        <v>0.1</v>
      </c>
      <c r="H3">
        <v>0.44</v>
      </c>
      <c r="I3">
        <v>0.14000000000000001</v>
      </c>
      <c r="J3">
        <v>0.04</v>
      </c>
    </row>
    <row r="4" spans="1:10" x14ac:dyDescent="0.2">
      <c r="A4">
        <v>2018</v>
      </c>
      <c r="B4">
        <v>1480</v>
      </c>
      <c r="C4">
        <v>0.48</v>
      </c>
      <c r="D4">
        <v>0.36</v>
      </c>
      <c r="E4">
        <v>0.22</v>
      </c>
      <c r="F4">
        <v>0.15</v>
      </c>
      <c r="H4">
        <v>0.42</v>
      </c>
      <c r="I4">
        <v>0.17</v>
      </c>
      <c r="J4">
        <v>0.05</v>
      </c>
    </row>
    <row r="5" spans="1:10" x14ac:dyDescent="0.2">
      <c r="A5">
        <v>2020</v>
      </c>
      <c r="B5">
        <v>1420</v>
      </c>
      <c r="C5">
        <v>0.45</v>
      </c>
      <c r="D5">
        <v>0.3</v>
      </c>
      <c r="E5">
        <v>0.22</v>
      </c>
      <c r="F5">
        <v>0.2</v>
      </c>
      <c r="H5">
        <v>0.4</v>
      </c>
      <c r="I5">
        <v>0.18</v>
      </c>
      <c r="J5">
        <v>0.12</v>
      </c>
    </row>
    <row r="6" spans="1:10" x14ac:dyDescent="0.2">
      <c r="A6">
        <v>2025</v>
      </c>
      <c r="B6">
        <v>1313</v>
      </c>
      <c r="C6">
        <v>0.4</v>
      </c>
      <c r="D6">
        <v>0.15</v>
      </c>
      <c r="E6">
        <v>0.22</v>
      </c>
      <c r="F6">
        <v>0.3</v>
      </c>
      <c r="G6" t="s">
        <v>10</v>
      </c>
      <c r="H6">
        <v>0.39</v>
      </c>
      <c r="I6">
        <v>0.2</v>
      </c>
      <c r="J6">
        <v>0.26</v>
      </c>
    </row>
    <row r="7" spans="1:10" x14ac:dyDescent="0.2">
      <c r="A7">
        <v>2025</v>
      </c>
      <c r="B7">
        <v>1137</v>
      </c>
      <c r="C7">
        <v>0.4</v>
      </c>
      <c r="D7">
        <v>0.13</v>
      </c>
      <c r="E7">
        <v>0.22</v>
      </c>
      <c r="F7">
        <v>0.3</v>
      </c>
      <c r="G7" t="s">
        <v>3</v>
      </c>
      <c r="H7">
        <v>0.37</v>
      </c>
      <c r="I7">
        <v>0.22</v>
      </c>
      <c r="J7">
        <v>0.28000000000000003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2"/>
  <dimension ref="A1:D32"/>
  <sheetViews>
    <sheetView workbookViewId="0">
      <selection activeCell="C2" sqref="C2"/>
    </sheetView>
  </sheetViews>
  <sheetFormatPr baseColWidth="10" defaultRowHeight="16" x14ac:dyDescent="0.2"/>
  <sheetData>
    <row r="1" spans="1:4" x14ac:dyDescent="0.2">
      <c r="A1" t="s">
        <v>5</v>
      </c>
      <c r="B1" t="s">
        <v>2</v>
      </c>
      <c r="C1" t="s">
        <v>1</v>
      </c>
      <c r="D1" t="s">
        <v>8</v>
      </c>
    </row>
    <row r="2" spans="1:4" x14ac:dyDescent="0.2">
      <c r="A2">
        <v>1980</v>
      </c>
      <c r="B2">
        <v>189.94463561571428</v>
      </c>
      <c r="C2">
        <v>673.73581123028578</v>
      </c>
      <c r="D2">
        <v>50.976271519714295</v>
      </c>
    </row>
    <row r="3" spans="1:4" x14ac:dyDescent="0.2">
      <c r="A3">
        <v>1981</v>
      </c>
      <c r="B3">
        <v>186.04748753357143</v>
      </c>
      <c r="C3">
        <v>648.08234191542863</v>
      </c>
      <c r="D3">
        <v>56.690514101571438</v>
      </c>
    </row>
    <row r="4" spans="1:4" x14ac:dyDescent="0.2">
      <c r="A4">
        <v>1982</v>
      </c>
      <c r="B4">
        <v>182.15033945142858</v>
      </c>
      <c r="C4">
        <v>622.42887260057148</v>
      </c>
      <c r="D4">
        <v>62.404756683428587</v>
      </c>
    </row>
    <row r="5" spans="1:4" x14ac:dyDescent="0.2">
      <c r="A5">
        <v>1983</v>
      </c>
      <c r="B5">
        <v>178.2531913692857</v>
      </c>
      <c r="C5">
        <v>596.77540328571433</v>
      </c>
      <c r="D5">
        <v>68.118999265285737</v>
      </c>
    </row>
    <row r="6" spans="1:4" x14ac:dyDescent="0.2">
      <c r="A6">
        <v>1984</v>
      </c>
      <c r="B6">
        <v>174.35604328714285</v>
      </c>
      <c r="C6">
        <v>571.12193397085719</v>
      </c>
      <c r="D6">
        <v>73.833241847142887</v>
      </c>
    </row>
    <row r="7" spans="1:4" x14ac:dyDescent="0.2">
      <c r="A7">
        <v>1985</v>
      </c>
      <c r="B7">
        <v>170.458895205</v>
      </c>
      <c r="C7">
        <v>545.46846465600004</v>
      </c>
      <c r="D7">
        <v>79.547484429000022</v>
      </c>
    </row>
    <row r="8" spans="1:4" x14ac:dyDescent="0.2">
      <c r="A8">
        <v>1986</v>
      </c>
      <c r="B8">
        <v>171.373740876</v>
      </c>
      <c r="C8">
        <v>543.72842084160004</v>
      </c>
      <c r="D8">
        <v>82.308187389600036</v>
      </c>
    </row>
    <row r="9" spans="1:4" x14ac:dyDescent="0.2">
      <c r="A9">
        <v>1987</v>
      </c>
      <c r="B9">
        <v>172.28858654700002</v>
      </c>
      <c r="C9">
        <v>541.98837702720004</v>
      </c>
      <c r="D9">
        <v>85.068890350200036</v>
      </c>
    </row>
    <row r="10" spans="1:4" x14ac:dyDescent="0.2">
      <c r="A10">
        <v>1988</v>
      </c>
      <c r="B10">
        <v>173.20343221800002</v>
      </c>
      <c r="C10">
        <v>540.24833321280005</v>
      </c>
      <c r="D10">
        <v>87.829593310800036</v>
      </c>
    </row>
    <row r="11" spans="1:4" x14ac:dyDescent="0.2">
      <c r="A11">
        <v>1989</v>
      </c>
      <c r="B11">
        <v>174.11827788900001</v>
      </c>
      <c r="C11">
        <v>538.50828939840005</v>
      </c>
      <c r="D11">
        <v>90.590296271400035</v>
      </c>
    </row>
    <row r="12" spans="1:4" x14ac:dyDescent="0.2">
      <c r="A12">
        <v>1990</v>
      </c>
      <c r="B12">
        <v>175.03312356000001</v>
      </c>
      <c r="C12">
        <v>560.10599539200007</v>
      </c>
      <c r="D12">
        <v>93.350999232000021</v>
      </c>
    </row>
    <row r="13" spans="1:4" x14ac:dyDescent="0.2">
      <c r="A13">
        <v>1991</v>
      </c>
      <c r="B13">
        <v>168.79894631279998</v>
      </c>
      <c r="C13">
        <v>537.31127446020002</v>
      </c>
      <c r="D13">
        <v>96.260134984200121</v>
      </c>
    </row>
    <row r="14" spans="1:4" x14ac:dyDescent="0.2">
      <c r="A14">
        <v>1992</v>
      </c>
      <c r="B14">
        <v>162.56476906559999</v>
      </c>
      <c r="C14">
        <v>537.85430333640011</v>
      </c>
      <c r="D14">
        <v>99.16927073640008</v>
      </c>
    </row>
    <row r="15" spans="1:4" x14ac:dyDescent="0.2">
      <c r="A15">
        <v>1993</v>
      </c>
      <c r="B15">
        <v>156.33059181839997</v>
      </c>
      <c r="C15">
        <v>538.39733221260008</v>
      </c>
      <c r="D15">
        <v>102.07840648860004</v>
      </c>
    </row>
    <row r="16" spans="1:4" x14ac:dyDescent="0.2">
      <c r="A16">
        <v>1994</v>
      </c>
      <c r="B16">
        <v>150.09641457119997</v>
      </c>
      <c r="C16">
        <v>538.94036108880005</v>
      </c>
      <c r="D16">
        <v>104.9875422408</v>
      </c>
    </row>
    <row r="17" spans="1:4" x14ac:dyDescent="0.2">
      <c r="A17">
        <v>1995</v>
      </c>
      <c r="B17">
        <v>143.86223732399998</v>
      </c>
      <c r="C17">
        <v>539.48338996500001</v>
      </c>
      <c r="D17">
        <v>107.89667799299998</v>
      </c>
    </row>
    <row r="18" spans="1:4" x14ac:dyDescent="0.2">
      <c r="A18">
        <v>1996</v>
      </c>
      <c r="B18">
        <v>139.84573416119997</v>
      </c>
      <c r="C18">
        <v>538.03727247059999</v>
      </c>
      <c r="D18">
        <v>111.07328669639996</v>
      </c>
    </row>
    <row r="19" spans="1:4" x14ac:dyDescent="0.2">
      <c r="A19">
        <v>1997</v>
      </c>
      <c r="B19">
        <v>135.82923099839999</v>
      </c>
      <c r="C19">
        <v>536.59115497619996</v>
      </c>
      <c r="D19">
        <v>114.24989539979995</v>
      </c>
    </row>
    <row r="20" spans="1:4" x14ac:dyDescent="0.2">
      <c r="A20">
        <v>1998</v>
      </c>
      <c r="B20">
        <v>131.81272783559999</v>
      </c>
      <c r="C20">
        <v>535.14503748180005</v>
      </c>
      <c r="D20">
        <v>117.42650410319995</v>
      </c>
    </row>
    <row r="21" spans="1:4" x14ac:dyDescent="0.2">
      <c r="A21">
        <v>1999</v>
      </c>
      <c r="B21">
        <v>127.79622467279999</v>
      </c>
      <c r="C21">
        <v>533.69891998740002</v>
      </c>
      <c r="D21">
        <v>120.60311280659994</v>
      </c>
    </row>
    <row r="22" spans="1:4" x14ac:dyDescent="0.2">
      <c r="A22">
        <v>2000</v>
      </c>
      <c r="B22">
        <v>123.77972151000002</v>
      </c>
      <c r="C22">
        <v>532.2528024930001</v>
      </c>
      <c r="D22">
        <v>123.77972151000002</v>
      </c>
    </row>
    <row r="23" spans="1:4" x14ac:dyDescent="0.2">
      <c r="A23">
        <v>2001</v>
      </c>
      <c r="B23">
        <v>119.38111413119999</v>
      </c>
      <c r="C23">
        <v>532.67826084119997</v>
      </c>
      <c r="D23">
        <v>129.55978259279996</v>
      </c>
    </row>
    <row r="24" spans="1:4" x14ac:dyDescent="0.2">
      <c r="A24">
        <v>2002</v>
      </c>
      <c r="B24">
        <v>114.9825067524</v>
      </c>
      <c r="C24">
        <v>533.10371918940007</v>
      </c>
      <c r="D24">
        <v>135.33984367559998</v>
      </c>
    </row>
    <row r="25" spans="1:4" x14ac:dyDescent="0.2">
      <c r="A25">
        <v>2003</v>
      </c>
      <c r="B25">
        <v>110.58389937359999</v>
      </c>
      <c r="C25">
        <v>533.52917753760005</v>
      </c>
      <c r="D25">
        <v>141.11990475839997</v>
      </c>
    </row>
    <row r="26" spans="1:4" x14ac:dyDescent="0.2">
      <c r="A26">
        <v>2004</v>
      </c>
      <c r="B26">
        <v>106.1852919948</v>
      </c>
      <c r="C26">
        <v>533.95463588580003</v>
      </c>
      <c r="D26">
        <v>146.89996584119999</v>
      </c>
    </row>
    <row r="27" spans="1:4" x14ac:dyDescent="0.2">
      <c r="A27">
        <v>2005</v>
      </c>
      <c r="B27">
        <v>101.786684616</v>
      </c>
      <c r="C27">
        <v>534.38009423400001</v>
      </c>
      <c r="D27">
        <v>152.680026924</v>
      </c>
    </row>
    <row r="28" spans="1:4" x14ac:dyDescent="0.2">
      <c r="A28">
        <v>2006</v>
      </c>
      <c r="B28">
        <v>102.55089304800002</v>
      </c>
      <c r="C28">
        <v>538.39218850199995</v>
      </c>
      <c r="D28">
        <v>171.17289122400004</v>
      </c>
    </row>
    <row r="29" spans="1:4" x14ac:dyDescent="0.2">
      <c r="A29">
        <v>2007</v>
      </c>
      <c r="B29">
        <v>103.31510148000002</v>
      </c>
      <c r="C29">
        <v>542.40428277000001</v>
      </c>
      <c r="D29">
        <v>189.66575552400008</v>
      </c>
    </row>
    <row r="30" spans="1:4" x14ac:dyDescent="0.2">
      <c r="A30">
        <v>2008</v>
      </c>
      <c r="B30">
        <v>104.07930991200003</v>
      </c>
      <c r="C30">
        <v>546.41637703800006</v>
      </c>
      <c r="D30">
        <v>208.15861982400008</v>
      </c>
    </row>
    <row r="31" spans="1:4" x14ac:dyDescent="0.2">
      <c r="A31">
        <v>2009</v>
      </c>
      <c r="B31">
        <v>107.32719574800001</v>
      </c>
      <c r="C31">
        <v>563.46777767699996</v>
      </c>
      <c r="D31">
        <v>221.56533409500003</v>
      </c>
    </row>
    <row r="32" spans="1:4" x14ac:dyDescent="0.2">
      <c r="A32">
        <v>2010</v>
      </c>
      <c r="B32">
        <v>110.575081584</v>
      </c>
      <c r="C32">
        <v>580.51917831599985</v>
      </c>
      <c r="D32">
        <v>234.97204836600002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4"/>
  <dimension ref="A1:E3"/>
  <sheetViews>
    <sheetView workbookViewId="0">
      <selection activeCell="E1" sqref="E1"/>
    </sheetView>
  </sheetViews>
  <sheetFormatPr baseColWidth="10" defaultRowHeight="16" x14ac:dyDescent="0.2"/>
  <cols>
    <col min="2" max="2" width="19.83203125" customWidth="1"/>
    <col min="3" max="3" width="22" customWidth="1"/>
    <col min="4" max="4" width="16.6640625" customWidth="1"/>
    <col min="5" max="5" width="18" customWidth="1"/>
  </cols>
  <sheetData>
    <row r="1" spans="1:5" x14ac:dyDescent="0.2">
      <c r="A1" t="s">
        <v>5</v>
      </c>
      <c r="B1" t="s">
        <v>228</v>
      </c>
      <c r="C1" t="s">
        <v>229</v>
      </c>
      <c r="D1" t="s">
        <v>230</v>
      </c>
      <c r="E1" t="s">
        <v>231</v>
      </c>
    </row>
    <row r="2" spans="1:5" x14ac:dyDescent="0.2">
      <c r="A2">
        <v>2022</v>
      </c>
      <c r="B2">
        <v>45</v>
      </c>
      <c r="C2">
        <v>27</v>
      </c>
      <c r="D2">
        <v>123</v>
      </c>
      <c r="E2">
        <v>10</v>
      </c>
    </row>
    <row r="3" spans="1:5" x14ac:dyDescent="0.2">
      <c r="A3">
        <v>2030</v>
      </c>
      <c r="B3">
        <v>59</v>
      </c>
      <c r="C3">
        <v>42</v>
      </c>
      <c r="D3">
        <v>143</v>
      </c>
      <c r="E3">
        <v>10.5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5"/>
  <dimension ref="A1:C12"/>
  <sheetViews>
    <sheetView workbookViewId="0">
      <selection activeCell="D24" sqref="D24"/>
    </sheetView>
  </sheetViews>
  <sheetFormatPr baseColWidth="10" defaultRowHeight="16" x14ac:dyDescent="0.2"/>
  <sheetData>
    <row r="1" spans="1:3" x14ac:dyDescent="0.2">
      <c r="A1" t="s">
        <v>5</v>
      </c>
      <c r="B1" t="s">
        <v>16</v>
      </c>
      <c r="C1" t="s">
        <v>20</v>
      </c>
    </row>
    <row r="2" spans="1:3" x14ac:dyDescent="0.2">
      <c r="A2">
        <v>2006</v>
      </c>
      <c r="B2">
        <v>121</v>
      </c>
      <c r="C2" t="s">
        <v>17</v>
      </c>
    </row>
    <row r="3" spans="1:3" x14ac:dyDescent="0.2">
      <c r="A3">
        <v>2012</v>
      </c>
      <c r="B3">
        <v>140</v>
      </c>
      <c r="C3" t="s">
        <v>17</v>
      </c>
    </row>
    <row r="4" spans="1:3" x14ac:dyDescent="0.2">
      <c r="A4">
        <v>2016</v>
      </c>
      <c r="B4">
        <v>151</v>
      </c>
      <c r="C4" t="s">
        <v>17</v>
      </c>
    </row>
    <row r="5" spans="1:3" x14ac:dyDescent="0.2">
      <c r="A5">
        <v>2019</v>
      </c>
      <c r="B5">
        <v>174</v>
      </c>
      <c r="C5" t="s">
        <v>17</v>
      </c>
    </row>
    <row r="6" spans="1:3" x14ac:dyDescent="0.2">
      <c r="A6">
        <v>2022</v>
      </c>
      <c r="B6">
        <v>205</v>
      </c>
      <c r="C6" t="s">
        <v>17</v>
      </c>
    </row>
    <row r="7" spans="1:3" x14ac:dyDescent="0.2">
      <c r="A7">
        <v>2026</v>
      </c>
      <c r="B7">
        <v>237</v>
      </c>
      <c r="C7" t="s">
        <v>17</v>
      </c>
    </row>
    <row r="8" spans="1:3" x14ac:dyDescent="0.2">
      <c r="A8">
        <v>2030</v>
      </c>
      <c r="B8">
        <v>256</v>
      </c>
      <c r="C8" t="s">
        <v>17</v>
      </c>
    </row>
    <row r="9" spans="1:3" x14ac:dyDescent="0.2">
      <c r="A9">
        <v>2026</v>
      </c>
      <c r="B9">
        <v>232</v>
      </c>
      <c r="C9" t="s">
        <v>18</v>
      </c>
    </row>
    <row r="10" spans="1:3" x14ac:dyDescent="0.2">
      <c r="A10">
        <v>2030</v>
      </c>
      <c r="B10">
        <v>224</v>
      </c>
      <c r="C10" t="s">
        <v>18</v>
      </c>
    </row>
    <row r="11" spans="1:3" x14ac:dyDescent="0.2">
      <c r="A11">
        <v>2026</v>
      </c>
      <c r="B11">
        <v>244</v>
      </c>
      <c r="C11" t="s">
        <v>19</v>
      </c>
    </row>
    <row r="12" spans="1:3" x14ac:dyDescent="0.2">
      <c r="A12">
        <v>2030</v>
      </c>
      <c r="B12">
        <v>279</v>
      </c>
      <c r="C12" t="s">
        <v>19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6"/>
  <dimension ref="A1:D25"/>
  <sheetViews>
    <sheetView workbookViewId="0">
      <selection activeCell="B1" sqref="B1"/>
    </sheetView>
  </sheetViews>
  <sheetFormatPr baseColWidth="10" defaultRowHeight="16" x14ac:dyDescent="0.2"/>
  <sheetData>
    <row r="1" spans="1:4" x14ac:dyDescent="0.2">
      <c r="A1" t="s">
        <v>21</v>
      </c>
      <c r="B1" t="s">
        <v>16</v>
      </c>
      <c r="C1" t="s">
        <v>5</v>
      </c>
      <c r="D1" t="s">
        <v>25</v>
      </c>
    </row>
    <row r="2" spans="1:4" x14ac:dyDescent="0.2">
      <c r="A2" t="s">
        <v>10</v>
      </c>
      <c r="B2">
        <v>77</v>
      </c>
      <c r="C2">
        <v>2019</v>
      </c>
      <c r="D2" t="s">
        <v>26</v>
      </c>
    </row>
    <row r="3" spans="1:4" x14ac:dyDescent="0.2">
      <c r="A3" t="s">
        <v>3</v>
      </c>
      <c r="B3">
        <v>98</v>
      </c>
      <c r="C3">
        <v>2019</v>
      </c>
      <c r="D3" t="s">
        <v>27</v>
      </c>
    </row>
    <row r="4" spans="1:4" x14ac:dyDescent="0.2">
      <c r="A4" t="s">
        <v>11</v>
      </c>
      <c r="B4">
        <v>152</v>
      </c>
      <c r="C4">
        <v>2019</v>
      </c>
      <c r="D4" t="s">
        <v>28</v>
      </c>
    </row>
    <row r="5" spans="1:4" x14ac:dyDescent="0.2">
      <c r="A5" t="s">
        <v>22</v>
      </c>
      <c r="B5">
        <v>266</v>
      </c>
      <c r="C5">
        <v>2019</v>
      </c>
      <c r="D5" t="s">
        <v>29</v>
      </c>
    </row>
    <row r="6" spans="1:4" x14ac:dyDescent="0.2">
      <c r="A6" t="s">
        <v>23</v>
      </c>
      <c r="B6">
        <v>442</v>
      </c>
      <c r="C6">
        <v>2019</v>
      </c>
      <c r="D6" t="s">
        <v>30</v>
      </c>
    </row>
    <row r="7" spans="1:4" x14ac:dyDescent="0.2">
      <c r="A7" t="s">
        <v>24</v>
      </c>
      <c r="C7">
        <v>2019</v>
      </c>
      <c r="D7" t="s">
        <v>31</v>
      </c>
    </row>
    <row r="8" spans="1:4" x14ac:dyDescent="0.2">
      <c r="A8" t="s">
        <v>10</v>
      </c>
      <c r="B8">
        <v>93</v>
      </c>
      <c r="C8">
        <v>2022</v>
      </c>
      <c r="D8" t="s">
        <v>26</v>
      </c>
    </row>
    <row r="9" spans="1:4" x14ac:dyDescent="0.2">
      <c r="A9" t="s">
        <v>3</v>
      </c>
      <c r="B9">
        <v>116</v>
      </c>
      <c r="C9">
        <v>2022</v>
      </c>
      <c r="D9" t="s">
        <v>27</v>
      </c>
    </row>
    <row r="10" spans="1:4" x14ac:dyDescent="0.2">
      <c r="A10" t="s">
        <v>11</v>
      </c>
      <c r="B10">
        <v>174</v>
      </c>
      <c r="C10">
        <v>2022</v>
      </c>
      <c r="D10" t="s">
        <v>28</v>
      </c>
    </row>
    <row r="11" spans="1:4" x14ac:dyDescent="0.2">
      <c r="A11" t="s">
        <v>22</v>
      </c>
      <c r="B11">
        <v>284</v>
      </c>
      <c r="C11">
        <v>2022</v>
      </c>
      <c r="D11" t="s">
        <v>29</v>
      </c>
    </row>
    <row r="12" spans="1:4" x14ac:dyDescent="0.2">
      <c r="A12" t="s">
        <v>23</v>
      </c>
      <c r="B12">
        <v>443</v>
      </c>
      <c r="C12">
        <v>2022</v>
      </c>
      <c r="D12" t="s">
        <v>30</v>
      </c>
    </row>
    <row r="13" spans="1:4" x14ac:dyDescent="0.2">
      <c r="A13" t="s">
        <v>24</v>
      </c>
      <c r="B13">
        <v>494</v>
      </c>
      <c r="C13">
        <v>2022</v>
      </c>
      <c r="D13" t="s">
        <v>31</v>
      </c>
    </row>
    <row r="14" spans="1:4" x14ac:dyDescent="0.2">
      <c r="A14" t="s">
        <v>10</v>
      </c>
      <c r="B14">
        <v>78</v>
      </c>
      <c r="C14">
        <v>2026</v>
      </c>
      <c r="D14" t="s">
        <v>26</v>
      </c>
    </row>
    <row r="15" spans="1:4" x14ac:dyDescent="0.2">
      <c r="A15" t="s">
        <v>3</v>
      </c>
      <c r="B15">
        <v>130</v>
      </c>
      <c r="C15">
        <v>2026</v>
      </c>
      <c r="D15" t="s">
        <v>27</v>
      </c>
    </row>
    <row r="16" spans="1:4" x14ac:dyDescent="0.2">
      <c r="A16" t="s">
        <v>11</v>
      </c>
      <c r="B16">
        <v>197</v>
      </c>
      <c r="C16">
        <v>2026</v>
      </c>
      <c r="D16" t="s">
        <v>28</v>
      </c>
    </row>
    <row r="17" spans="1:4" x14ac:dyDescent="0.2">
      <c r="A17" t="s">
        <v>22</v>
      </c>
      <c r="B17">
        <v>335</v>
      </c>
      <c r="C17">
        <v>2026</v>
      </c>
      <c r="D17" t="s">
        <v>29</v>
      </c>
    </row>
    <row r="18" spans="1:4" x14ac:dyDescent="0.2">
      <c r="A18" t="s">
        <v>23</v>
      </c>
      <c r="B18">
        <v>486</v>
      </c>
      <c r="C18">
        <v>2026</v>
      </c>
      <c r="D18" t="s">
        <v>30</v>
      </c>
    </row>
    <row r="19" spans="1:4" x14ac:dyDescent="0.2">
      <c r="A19" t="s">
        <v>24</v>
      </c>
      <c r="B19">
        <v>522</v>
      </c>
      <c r="C19">
        <v>2026</v>
      </c>
      <c r="D19" t="s">
        <v>31</v>
      </c>
    </row>
    <row r="20" spans="1:4" x14ac:dyDescent="0.2">
      <c r="A20" t="s">
        <v>10</v>
      </c>
      <c r="B20">
        <v>74</v>
      </c>
      <c r="C20">
        <v>2030</v>
      </c>
      <c r="D20" t="s">
        <v>26</v>
      </c>
    </row>
    <row r="21" spans="1:4" x14ac:dyDescent="0.2">
      <c r="A21" t="s">
        <v>3</v>
      </c>
      <c r="B21">
        <v>144</v>
      </c>
      <c r="C21">
        <v>2030</v>
      </c>
      <c r="D21" t="s">
        <v>27</v>
      </c>
    </row>
    <row r="22" spans="1:4" x14ac:dyDescent="0.2">
      <c r="A22" t="s">
        <v>11</v>
      </c>
      <c r="B22">
        <v>216</v>
      </c>
      <c r="C22">
        <v>2030</v>
      </c>
      <c r="D22" t="s">
        <v>28</v>
      </c>
    </row>
    <row r="23" spans="1:4" x14ac:dyDescent="0.2">
      <c r="A23" t="s">
        <v>22</v>
      </c>
      <c r="B23">
        <v>344</v>
      </c>
      <c r="C23">
        <v>2030</v>
      </c>
      <c r="D23" t="s">
        <v>29</v>
      </c>
    </row>
    <row r="24" spans="1:4" x14ac:dyDescent="0.2">
      <c r="A24" t="s">
        <v>23</v>
      </c>
      <c r="B24">
        <v>494</v>
      </c>
      <c r="C24">
        <v>2030</v>
      </c>
      <c r="D24" t="s">
        <v>30</v>
      </c>
    </row>
    <row r="25" spans="1:4" x14ac:dyDescent="0.2">
      <c r="A25" t="s">
        <v>24</v>
      </c>
      <c r="B25">
        <v>534</v>
      </c>
      <c r="C25">
        <v>2030</v>
      </c>
      <c r="D25" t="s">
        <v>31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7"/>
  <dimension ref="A1:C15"/>
  <sheetViews>
    <sheetView workbookViewId="0">
      <selection activeCell="F25" sqref="F25"/>
    </sheetView>
  </sheetViews>
  <sheetFormatPr baseColWidth="10" defaultRowHeight="16" x14ac:dyDescent="0.2"/>
  <cols>
    <col min="2" max="2" width="38.83203125" customWidth="1"/>
    <col min="3" max="3" width="31.1640625" customWidth="1"/>
  </cols>
  <sheetData>
    <row r="1" spans="1:3" x14ac:dyDescent="0.2">
      <c r="A1" t="s">
        <v>5</v>
      </c>
      <c r="B1" t="s">
        <v>232</v>
      </c>
      <c r="C1" t="s">
        <v>233</v>
      </c>
    </row>
    <row r="2" spans="1:3" x14ac:dyDescent="0.2">
      <c r="A2">
        <v>1975</v>
      </c>
      <c r="B2">
        <v>84</v>
      </c>
      <c r="C2">
        <v>84</v>
      </c>
    </row>
    <row r="3" spans="1:3" x14ac:dyDescent="0.2">
      <c r="A3">
        <v>1980</v>
      </c>
      <c r="B3">
        <v>120</v>
      </c>
      <c r="C3">
        <v>120</v>
      </c>
    </row>
    <row r="4" spans="1:3" x14ac:dyDescent="0.2">
      <c r="A4">
        <v>1985</v>
      </c>
      <c r="B4">
        <v>139</v>
      </c>
      <c r="C4">
        <v>139</v>
      </c>
    </row>
    <row r="5" spans="1:3" x14ac:dyDescent="0.2">
      <c r="A5">
        <v>1990</v>
      </c>
      <c r="B5">
        <v>165</v>
      </c>
      <c r="C5">
        <v>165</v>
      </c>
    </row>
    <row r="6" spans="1:3" x14ac:dyDescent="0.2">
      <c r="A6">
        <v>1995</v>
      </c>
      <c r="B6">
        <v>212</v>
      </c>
      <c r="C6">
        <v>212</v>
      </c>
    </row>
    <row r="7" spans="1:3" x14ac:dyDescent="0.2">
      <c r="A7">
        <v>2000</v>
      </c>
      <c r="B7">
        <v>258</v>
      </c>
      <c r="C7">
        <v>258</v>
      </c>
    </row>
    <row r="8" spans="1:3" x14ac:dyDescent="0.2">
      <c r="A8">
        <v>2005</v>
      </c>
      <c r="B8">
        <v>306</v>
      </c>
      <c r="C8">
        <v>306</v>
      </c>
    </row>
    <row r="9" spans="1:3" x14ac:dyDescent="0.2">
      <c r="A9">
        <v>2010</v>
      </c>
      <c r="B9">
        <v>340</v>
      </c>
      <c r="C9">
        <v>340</v>
      </c>
    </row>
    <row r="10" spans="1:3" x14ac:dyDescent="0.2">
      <c r="A10">
        <v>2015</v>
      </c>
      <c r="B10">
        <v>397</v>
      </c>
      <c r="C10">
        <v>397</v>
      </c>
    </row>
    <row r="11" spans="1:3" x14ac:dyDescent="0.2">
      <c r="A11">
        <v>2020</v>
      </c>
      <c r="B11">
        <v>459</v>
      </c>
      <c r="C11">
        <v>459</v>
      </c>
    </row>
    <row r="12" spans="1:3" x14ac:dyDescent="0.2">
      <c r="A12">
        <v>2022</v>
      </c>
      <c r="B12">
        <v>501</v>
      </c>
    </row>
    <row r="13" spans="1:3" x14ac:dyDescent="0.2">
      <c r="A13">
        <v>2025</v>
      </c>
      <c r="B13">
        <v>515</v>
      </c>
      <c r="C13">
        <v>505</v>
      </c>
    </row>
    <row r="14" spans="1:3" x14ac:dyDescent="0.2">
      <c r="A14">
        <v>2026</v>
      </c>
      <c r="B14">
        <v>523</v>
      </c>
    </row>
    <row r="15" spans="1:3" x14ac:dyDescent="0.2">
      <c r="A15">
        <v>2030</v>
      </c>
      <c r="B15">
        <v>556</v>
      </c>
      <c r="C15">
        <v>570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8"/>
  <dimension ref="A1:G10"/>
  <sheetViews>
    <sheetView workbookViewId="0">
      <selection activeCell="F17" sqref="F17"/>
    </sheetView>
  </sheetViews>
  <sheetFormatPr baseColWidth="10" defaultRowHeight="16" x14ac:dyDescent="0.2"/>
  <cols>
    <col min="2" max="2" width="20" customWidth="1"/>
    <col min="3" max="3" width="21" customWidth="1"/>
    <col min="4" max="4" width="24" customWidth="1"/>
    <col min="5" max="5" width="19.83203125" customWidth="1"/>
  </cols>
  <sheetData>
    <row r="1" spans="1:7" x14ac:dyDescent="0.2">
      <c r="A1" t="s">
        <v>5</v>
      </c>
      <c r="B1" t="s">
        <v>234</v>
      </c>
      <c r="C1" t="s">
        <v>235</v>
      </c>
      <c r="D1" t="s">
        <v>236</v>
      </c>
      <c r="E1" t="s">
        <v>237</v>
      </c>
      <c r="F1" t="s">
        <v>76</v>
      </c>
      <c r="G1" t="s">
        <v>116</v>
      </c>
    </row>
    <row r="2" spans="1:7" x14ac:dyDescent="0.2">
      <c r="A2">
        <v>2016</v>
      </c>
      <c r="B2">
        <v>77</v>
      </c>
      <c r="C2">
        <v>41</v>
      </c>
      <c r="D2">
        <v>287</v>
      </c>
      <c r="E2">
        <v>6</v>
      </c>
      <c r="F2">
        <v>411</v>
      </c>
      <c r="G2">
        <v>2022</v>
      </c>
    </row>
    <row r="3" spans="1:7" x14ac:dyDescent="0.2">
      <c r="A3">
        <v>2020</v>
      </c>
      <c r="B3">
        <v>107</v>
      </c>
      <c r="C3">
        <v>45</v>
      </c>
      <c r="D3">
        <v>299</v>
      </c>
      <c r="E3">
        <v>8</v>
      </c>
      <c r="F3">
        <v>459</v>
      </c>
      <c r="G3">
        <v>2022</v>
      </c>
    </row>
    <row r="4" spans="1:7" x14ac:dyDescent="0.2">
      <c r="A4">
        <v>2022</v>
      </c>
      <c r="B4">
        <v>133</v>
      </c>
      <c r="C4">
        <v>58</v>
      </c>
      <c r="D4">
        <v>301</v>
      </c>
      <c r="E4">
        <v>10</v>
      </c>
      <c r="F4">
        <v>501</v>
      </c>
      <c r="G4">
        <v>2022</v>
      </c>
    </row>
    <row r="5" spans="1:7" x14ac:dyDescent="0.2">
      <c r="A5">
        <v>2026</v>
      </c>
      <c r="B5">
        <v>137</v>
      </c>
      <c r="C5">
        <v>74</v>
      </c>
      <c r="D5">
        <v>302</v>
      </c>
      <c r="E5">
        <v>11</v>
      </c>
      <c r="F5">
        <v>523</v>
      </c>
      <c r="G5">
        <v>2022</v>
      </c>
    </row>
    <row r="6" spans="1:7" x14ac:dyDescent="0.2">
      <c r="A6">
        <v>2030</v>
      </c>
      <c r="B6">
        <v>148</v>
      </c>
      <c r="C6">
        <v>92</v>
      </c>
      <c r="D6">
        <v>304</v>
      </c>
      <c r="E6">
        <v>13</v>
      </c>
      <c r="F6">
        <v>556</v>
      </c>
      <c r="G6">
        <v>2022</v>
      </c>
    </row>
    <row r="7" spans="1:7" x14ac:dyDescent="0.2">
      <c r="A7">
        <v>2016</v>
      </c>
      <c r="B7">
        <v>77</v>
      </c>
      <c r="C7">
        <v>41</v>
      </c>
      <c r="D7">
        <v>287</v>
      </c>
      <c r="E7">
        <v>6</v>
      </c>
      <c r="F7">
        <v>411</v>
      </c>
      <c r="G7">
        <v>2020</v>
      </c>
    </row>
    <row r="8" spans="1:7" x14ac:dyDescent="0.2">
      <c r="A8">
        <v>2020</v>
      </c>
      <c r="B8">
        <v>107</v>
      </c>
      <c r="C8">
        <v>45</v>
      </c>
      <c r="D8">
        <v>299</v>
      </c>
      <c r="E8">
        <v>8</v>
      </c>
      <c r="F8">
        <v>459</v>
      </c>
      <c r="G8">
        <v>2020</v>
      </c>
    </row>
    <row r="9" spans="1:7" x14ac:dyDescent="0.2">
      <c r="A9">
        <v>2022</v>
      </c>
      <c r="B9">
        <v>108</v>
      </c>
      <c r="C9">
        <v>49</v>
      </c>
      <c r="D9">
        <v>305</v>
      </c>
      <c r="E9">
        <v>9</v>
      </c>
      <c r="F9">
        <v>471</v>
      </c>
      <c r="G9">
        <v>2020</v>
      </c>
    </row>
    <row r="10" spans="1:7" x14ac:dyDescent="0.2">
      <c r="A10">
        <v>2026</v>
      </c>
      <c r="B10">
        <v>133</v>
      </c>
      <c r="C10">
        <v>55</v>
      </c>
      <c r="D10">
        <v>316</v>
      </c>
      <c r="E10">
        <v>10</v>
      </c>
      <c r="F10">
        <v>514</v>
      </c>
      <c r="G10">
        <v>2020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19"/>
  <dimension ref="A1:C25"/>
  <sheetViews>
    <sheetView workbookViewId="0">
      <selection sqref="A1:C7"/>
    </sheetView>
  </sheetViews>
  <sheetFormatPr baseColWidth="10" defaultRowHeight="16" x14ac:dyDescent="0.2"/>
  <cols>
    <col min="2" max="2" width="15.5" customWidth="1"/>
  </cols>
  <sheetData>
    <row r="1" spans="1:3" x14ac:dyDescent="0.2">
      <c r="A1" t="s">
        <v>21</v>
      </c>
      <c r="B1" t="s">
        <v>227</v>
      </c>
      <c r="C1" t="s">
        <v>5</v>
      </c>
    </row>
    <row r="2" spans="1:3" x14ac:dyDescent="0.2">
      <c r="A2" t="s">
        <v>10</v>
      </c>
      <c r="B2">
        <v>304</v>
      </c>
      <c r="C2">
        <v>2020</v>
      </c>
    </row>
    <row r="3" spans="1:3" x14ac:dyDescent="0.2">
      <c r="A3" t="s">
        <v>3</v>
      </c>
      <c r="B3">
        <v>258</v>
      </c>
      <c r="C3">
        <v>2020</v>
      </c>
    </row>
    <row r="4" spans="1:3" x14ac:dyDescent="0.2">
      <c r="A4" t="s">
        <v>11</v>
      </c>
      <c r="B4">
        <v>270</v>
      </c>
      <c r="C4">
        <v>2020</v>
      </c>
    </row>
    <row r="5" spans="1:3" x14ac:dyDescent="0.2">
      <c r="A5" t="s">
        <v>22</v>
      </c>
      <c r="B5">
        <v>423</v>
      </c>
      <c r="C5">
        <v>2020</v>
      </c>
    </row>
    <row r="6" spans="1:3" x14ac:dyDescent="0.2">
      <c r="A6" t="s">
        <v>23</v>
      </c>
      <c r="B6">
        <v>519</v>
      </c>
      <c r="C6">
        <v>2020</v>
      </c>
    </row>
    <row r="7" spans="1:3" x14ac:dyDescent="0.2">
      <c r="A7" t="s">
        <v>24</v>
      </c>
      <c r="C7">
        <v>2020</v>
      </c>
    </row>
    <row r="8" spans="1:3" x14ac:dyDescent="0.2">
      <c r="A8" t="s">
        <v>10</v>
      </c>
      <c r="C8">
        <v>2022</v>
      </c>
    </row>
    <row r="9" spans="1:3" x14ac:dyDescent="0.2">
      <c r="A9" t="s">
        <v>3</v>
      </c>
      <c r="B9">
        <v>218</v>
      </c>
      <c r="C9">
        <v>2022</v>
      </c>
    </row>
    <row r="10" spans="1:3" x14ac:dyDescent="0.2">
      <c r="A10" t="s">
        <v>11</v>
      </c>
      <c r="B10">
        <v>268</v>
      </c>
      <c r="C10">
        <v>2022</v>
      </c>
    </row>
    <row r="11" spans="1:3" x14ac:dyDescent="0.2">
      <c r="A11" t="s">
        <v>22</v>
      </c>
      <c r="B11">
        <v>475</v>
      </c>
      <c r="C11">
        <v>2022</v>
      </c>
    </row>
    <row r="12" spans="1:3" x14ac:dyDescent="0.2">
      <c r="A12" t="s">
        <v>23</v>
      </c>
      <c r="B12">
        <v>608</v>
      </c>
      <c r="C12">
        <v>2022</v>
      </c>
    </row>
    <row r="13" spans="1:3" x14ac:dyDescent="0.2">
      <c r="A13" t="s">
        <v>24</v>
      </c>
      <c r="C13">
        <v>2022</v>
      </c>
    </row>
    <row r="14" spans="1:3" x14ac:dyDescent="0.2">
      <c r="A14" t="s">
        <v>10</v>
      </c>
      <c r="C14">
        <v>2026</v>
      </c>
    </row>
    <row r="15" spans="1:3" x14ac:dyDescent="0.2">
      <c r="A15" t="s">
        <v>3</v>
      </c>
      <c r="B15">
        <v>208</v>
      </c>
      <c r="C15">
        <v>2026</v>
      </c>
    </row>
    <row r="16" spans="1:3" x14ac:dyDescent="0.2">
      <c r="A16" t="s">
        <v>11</v>
      </c>
      <c r="B16">
        <v>273</v>
      </c>
      <c r="C16">
        <v>2026</v>
      </c>
    </row>
    <row r="17" spans="1:3" x14ac:dyDescent="0.2">
      <c r="A17" t="s">
        <v>22</v>
      </c>
      <c r="B17">
        <v>552</v>
      </c>
      <c r="C17">
        <v>2026</v>
      </c>
    </row>
    <row r="18" spans="1:3" x14ac:dyDescent="0.2">
      <c r="A18" t="s">
        <v>23</v>
      </c>
      <c r="B18">
        <v>828</v>
      </c>
      <c r="C18">
        <v>2026</v>
      </c>
    </row>
    <row r="19" spans="1:3" x14ac:dyDescent="0.2">
      <c r="A19" t="s">
        <v>24</v>
      </c>
      <c r="C19">
        <v>2026</v>
      </c>
    </row>
    <row r="20" spans="1:3" x14ac:dyDescent="0.2">
      <c r="A20" t="s">
        <v>10</v>
      </c>
      <c r="C20">
        <v>2030</v>
      </c>
    </row>
    <row r="21" spans="1:3" x14ac:dyDescent="0.2">
      <c r="A21" t="s">
        <v>3</v>
      </c>
      <c r="B21">
        <v>209</v>
      </c>
      <c r="C21">
        <v>2030</v>
      </c>
    </row>
    <row r="22" spans="1:3" x14ac:dyDescent="0.2">
      <c r="A22" t="s">
        <v>11</v>
      </c>
      <c r="B22">
        <v>281</v>
      </c>
      <c r="C22">
        <v>2030</v>
      </c>
    </row>
    <row r="23" spans="1:3" x14ac:dyDescent="0.2">
      <c r="A23" t="s">
        <v>22</v>
      </c>
      <c r="B23">
        <v>569</v>
      </c>
      <c r="C23">
        <v>2030</v>
      </c>
    </row>
    <row r="24" spans="1:3" x14ac:dyDescent="0.2">
      <c r="A24" t="s">
        <v>23</v>
      </c>
      <c r="B24">
        <v>924</v>
      </c>
      <c r="C24">
        <v>2030</v>
      </c>
    </row>
    <row r="25" spans="1:3" x14ac:dyDescent="0.2">
      <c r="A25" t="s">
        <v>24</v>
      </c>
      <c r="C25">
        <v>2030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workbookViewId="0">
      <selection activeCell="E8" sqref="E8"/>
    </sheetView>
  </sheetViews>
  <sheetFormatPr baseColWidth="10" defaultRowHeight="16" x14ac:dyDescent="0.2"/>
  <sheetData>
    <row r="1" spans="1:3" x14ac:dyDescent="0.2">
      <c r="A1" t="s">
        <v>21</v>
      </c>
      <c r="B1" t="s">
        <v>227</v>
      </c>
      <c r="C1" t="s">
        <v>5</v>
      </c>
    </row>
    <row r="2" spans="1:3" x14ac:dyDescent="0.2">
      <c r="A2" t="s">
        <v>10</v>
      </c>
      <c r="B2">
        <v>251.6</v>
      </c>
      <c r="C2">
        <v>2015</v>
      </c>
    </row>
    <row r="3" spans="1:3" x14ac:dyDescent="0.2">
      <c r="A3" t="s">
        <v>3</v>
      </c>
      <c r="B3">
        <v>251.6</v>
      </c>
      <c r="C3">
        <v>2015</v>
      </c>
    </row>
    <row r="4" spans="1:3" x14ac:dyDescent="0.2">
      <c r="A4" t="s">
        <v>11</v>
      </c>
      <c r="B4">
        <v>273.89999999999998</v>
      </c>
      <c r="C4">
        <v>2015</v>
      </c>
    </row>
    <row r="5" spans="1:3" x14ac:dyDescent="0.2">
      <c r="A5" t="s">
        <v>22</v>
      </c>
      <c r="B5">
        <v>363.3</v>
      </c>
      <c r="C5">
        <v>2015</v>
      </c>
    </row>
    <row r="6" spans="1:3" x14ac:dyDescent="0.2">
      <c r="A6" t="s">
        <v>23</v>
      </c>
      <c r="B6">
        <v>546.9</v>
      </c>
      <c r="C6">
        <v>2015</v>
      </c>
    </row>
    <row r="7" spans="1:3" x14ac:dyDescent="0.2">
      <c r="A7" t="s">
        <v>24</v>
      </c>
      <c r="C7">
        <v>2015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20"/>
  <dimension ref="A1:D49"/>
  <sheetViews>
    <sheetView workbookViewId="0">
      <selection activeCell="G47" sqref="G47"/>
    </sheetView>
  </sheetViews>
  <sheetFormatPr baseColWidth="10" defaultRowHeight="16" x14ac:dyDescent="0.2"/>
  <cols>
    <col min="1" max="1" width="33.33203125" customWidth="1"/>
  </cols>
  <sheetData>
    <row r="1" spans="1:4" x14ac:dyDescent="0.2">
      <c r="A1" t="s">
        <v>74</v>
      </c>
      <c r="B1" t="s">
        <v>16</v>
      </c>
      <c r="C1" t="s">
        <v>5</v>
      </c>
      <c r="D1" t="s">
        <v>117</v>
      </c>
    </row>
    <row r="2" spans="1:4" x14ac:dyDescent="0.2">
      <c r="A2" t="s">
        <v>32</v>
      </c>
      <c r="B2">
        <v>38</v>
      </c>
      <c r="C2">
        <v>2019</v>
      </c>
      <c r="D2">
        <v>2022</v>
      </c>
    </row>
    <row r="3" spans="1:4" x14ac:dyDescent="0.2">
      <c r="A3" t="s">
        <v>33</v>
      </c>
      <c r="B3">
        <v>42</v>
      </c>
      <c r="C3">
        <v>2019</v>
      </c>
      <c r="D3">
        <v>2022</v>
      </c>
    </row>
    <row r="4" spans="1:4" x14ac:dyDescent="0.2">
      <c r="A4" t="s">
        <v>34</v>
      </c>
      <c r="B4">
        <v>14</v>
      </c>
      <c r="C4">
        <v>2019</v>
      </c>
      <c r="D4">
        <v>2022</v>
      </c>
    </row>
    <row r="5" spans="1:4" x14ac:dyDescent="0.2">
      <c r="A5" t="s">
        <v>35</v>
      </c>
      <c r="B5">
        <v>19</v>
      </c>
      <c r="C5">
        <v>2019</v>
      </c>
      <c r="D5">
        <v>2022</v>
      </c>
    </row>
    <row r="6" spans="1:4" x14ac:dyDescent="0.2">
      <c r="A6" t="s">
        <v>36</v>
      </c>
      <c r="B6">
        <v>19</v>
      </c>
      <c r="C6">
        <v>2019</v>
      </c>
      <c r="D6">
        <v>2022</v>
      </c>
    </row>
    <row r="7" spans="1:4" x14ac:dyDescent="0.2">
      <c r="A7" t="s">
        <v>37</v>
      </c>
      <c r="B7">
        <v>12</v>
      </c>
      <c r="C7">
        <v>2019</v>
      </c>
      <c r="D7">
        <v>2022</v>
      </c>
    </row>
    <row r="8" spans="1:4" x14ac:dyDescent="0.2">
      <c r="A8" t="s">
        <v>38</v>
      </c>
      <c r="B8">
        <v>19</v>
      </c>
      <c r="C8">
        <v>2019</v>
      </c>
      <c r="D8">
        <v>2022</v>
      </c>
    </row>
    <row r="9" spans="1:4" x14ac:dyDescent="0.2">
      <c r="A9" t="s">
        <v>39</v>
      </c>
      <c r="C9">
        <v>2019</v>
      </c>
      <c r="D9">
        <v>2022</v>
      </c>
    </row>
    <row r="10" spans="1:4" x14ac:dyDescent="0.2">
      <c r="A10" t="s">
        <v>40</v>
      </c>
      <c r="B10">
        <v>4</v>
      </c>
      <c r="C10">
        <v>2019</v>
      </c>
      <c r="D10">
        <v>2022</v>
      </c>
    </row>
    <row r="11" spans="1:4" x14ac:dyDescent="0.2">
      <c r="A11" t="s">
        <v>41</v>
      </c>
      <c r="B11">
        <v>3</v>
      </c>
      <c r="C11">
        <v>2019</v>
      </c>
      <c r="D11">
        <v>2022</v>
      </c>
    </row>
    <row r="12" spans="1:4" x14ac:dyDescent="0.2">
      <c r="A12" t="s">
        <v>42</v>
      </c>
      <c r="B12">
        <v>2</v>
      </c>
      <c r="C12">
        <v>2019</v>
      </c>
      <c r="D12">
        <v>2022</v>
      </c>
    </row>
    <row r="13" spans="1:4" x14ac:dyDescent="0.2">
      <c r="A13" t="s">
        <v>43</v>
      </c>
      <c r="C13">
        <v>2019</v>
      </c>
      <c r="D13">
        <v>2022</v>
      </c>
    </row>
    <row r="14" spans="1:4" x14ac:dyDescent="0.2">
      <c r="A14" t="s">
        <v>32</v>
      </c>
      <c r="B14">
        <v>41</v>
      </c>
      <c r="C14">
        <v>2022</v>
      </c>
      <c r="D14">
        <v>2022</v>
      </c>
    </row>
    <row r="15" spans="1:4" x14ac:dyDescent="0.2">
      <c r="A15" t="s">
        <v>33</v>
      </c>
      <c r="B15">
        <v>31</v>
      </c>
      <c r="C15">
        <v>2022</v>
      </c>
      <c r="D15">
        <v>2022</v>
      </c>
    </row>
    <row r="16" spans="1:4" x14ac:dyDescent="0.2">
      <c r="A16" t="s">
        <v>34</v>
      </c>
      <c r="B16">
        <v>28</v>
      </c>
      <c r="C16">
        <v>2022</v>
      </c>
      <c r="D16">
        <v>2022</v>
      </c>
    </row>
    <row r="17" spans="1:4" x14ac:dyDescent="0.2">
      <c r="A17" t="s">
        <v>35</v>
      </c>
      <c r="B17">
        <v>21</v>
      </c>
      <c r="C17">
        <v>2022</v>
      </c>
      <c r="D17">
        <v>2022</v>
      </c>
    </row>
    <row r="18" spans="1:4" x14ac:dyDescent="0.2">
      <c r="A18" t="s">
        <v>36</v>
      </c>
      <c r="B18">
        <v>19</v>
      </c>
      <c r="C18">
        <v>2022</v>
      </c>
      <c r="D18">
        <v>2022</v>
      </c>
    </row>
    <row r="19" spans="1:4" x14ac:dyDescent="0.2">
      <c r="A19" t="s">
        <v>37</v>
      </c>
      <c r="B19">
        <v>18</v>
      </c>
      <c r="C19">
        <v>2022</v>
      </c>
      <c r="D19">
        <v>2022</v>
      </c>
    </row>
    <row r="20" spans="1:4" x14ac:dyDescent="0.2">
      <c r="A20" t="s">
        <v>38</v>
      </c>
      <c r="B20">
        <v>17</v>
      </c>
      <c r="C20">
        <v>2022</v>
      </c>
      <c r="D20">
        <v>2022</v>
      </c>
    </row>
    <row r="21" spans="1:4" x14ac:dyDescent="0.2">
      <c r="A21" t="s">
        <v>39</v>
      </c>
      <c r="B21">
        <v>17</v>
      </c>
      <c r="C21">
        <v>2022</v>
      </c>
      <c r="D21">
        <v>2022</v>
      </c>
    </row>
    <row r="22" spans="1:4" x14ac:dyDescent="0.2">
      <c r="A22" t="s">
        <v>40</v>
      </c>
      <c r="B22">
        <v>4</v>
      </c>
      <c r="C22">
        <v>2022</v>
      </c>
      <c r="D22">
        <v>2022</v>
      </c>
    </row>
    <row r="23" spans="1:4" x14ac:dyDescent="0.2">
      <c r="A23" t="s">
        <v>41</v>
      </c>
      <c r="B23">
        <v>4</v>
      </c>
      <c r="C23">
        <v>2022</v>
      </c>
      <c r="D23">
        <v>2022</v>
      </c>
    </row>
    <row r="24" spans="1:4" x14ac:dyDescent="0.2">
      <c r="A24" t="s">
        <v>42</v>
      </c>
      <c r="B24">
        <v>1</v>
      </c>
      <c r="C24">
        <v>2022</v>
      </c>
      <c r="D24">
        <v>2022</v>
      </c>
    </row>
    <row r="25" spans="1:4" x14ac:dyDescent="0.2">
      <c r="A25" t="s">
        <v>43</v>
      </c>
      <c r="B25">
        <v>1</v>
      </c>
      <c r="C25">
        <v>2022</v>
      </c>
      <c r="D25">
        <v>2022</v>
      </c>
    </row>
    <row r="26" spans="1:4" x14ac:dyDescent="0.2">
      <c r="A26" t="s">
        <v>32</v>
      </c>
      <c r="B26">
        <v>43</v>
      </c>
      <c r="C26">
        <v>2026</v>
      </c>
      <c r="D26">
        <v>2022</v>
      </c>
    </row>
    <row r="27" spans="1:4" x14ac:dyDescent="0.2">
      <c r="A27" t="s">
        <v>33</v>
      </c>
      <c r="B27">
        <v>23</v>
      </c>
      <c r="C27">
        <v>2026</v>
      </c>
      <c r="D27">
        <v>2022</v>
      </c>
    </row>
    <row r="28" spans="1:4" x14ac:dyDescent="0.2">
      <c r="A28" t="s">
        <v>34</v>
      </c>
      <c r="B28">
        <v>39</v>
      </c>
      <c r="C28">
        <v>2026</v>
      </c>
      <c r="D28">
        <v>2022</v>
      </c>
    </row>
    <row r="29" spans="1:4" x14ac:dyDescent="0.2">
      <c r="A29" t="s">
        <v>35</v>
      </c>
      <c r="B29">
        <v>18</v>
      </c>
      <c r="C29">
        <v>2026</v>
      </c>
      <c r="D29">
        <v>2022</v>
      </c>
    </row>
    <row r="30" spans="1:4" x14ac:dyDescent="0.2">
      <c r="A30" t="s">
        <v>36</v>
      </c>
      <c r="B30">
        <v>19</v>
      </c>
      <c r="C30">
        <v>2026</v>
      </c>
      <c r="D30">
        <v>2022</v>
      </c>
    </row>
    <row r="31" spans="1:4" x14ac:dyDescent="0.2">
      <c r="A31" t="s">
        <v>37</v>
      </c>
      <c r="B31">
        <v>20</v>
      </c>
      <c r="C31">
        <v>2026</v>
      </c>
      <c r="D31">
        <v>2022</v>
      </c>
    </row>
    <row r="32" spans="1:4" x14ac:dyDescent="0.2">
      <c r="A32" t="s">
        <v>38</v>
      </c>
      <c r="B32">
        <v>21</v>
      </c>
      <c r="C32">
        <v>2026</v>
      </c>
      <c r="D32">
        <v>2022</v>
      </c>
    </row>
    <row r="33" spans="1:4" x14ac:dyDescent="0.2">
      <c r="A33" t="s">
        <v>39</v>
      </c>
      <c r="B33">
        <v>44</v>
      </c>
      <c r="C33">
        <v>2026</v>
      </c>
      <c r="D33">
        <v>2022</v>
      </c>
    </row>
    <row r="34" spans="1:4" x14ac:dyDescent="0.2">
      <c r="A34" t="s">
        <v>40</v>
      </c>
      <c r="B34">
        <v>4</v>
      </c>
      <c r="C34">
        <v>2026</v>
      </c>
      <c r="D34">
        <v>2022</v>
      </c>
    </row>
    <row r="35" spans="1:4" x14ac:dyDescent="0.2">
      <c r="A35" t="s">
        <v>41</v>
      </c>
      <c r="B35">
        <v>4</v>
      </c>
      <c r="C35">
        <v>2026</v>
      </c>
      <c r="D35">
        <v>2022</v>
      </c>
    </row>
    <row r="36" spans="1:4" x14ac:dyDescent="0.2">
      <c r="A36" t="s">
        <v>42</v>
      </c>
      <c r="B36">
        <v>1</v>
      </c>
      <c r="C36">
        <v>2026</v>
      </c>
      <c r="D36">
        <v>2022</v>
      </c>
    </row>
    <row r="37" spans="1:4" x14ac:dyDescent="0.2">
      <c r="A37" t="s">
        <v>43</v>
      </c>
      <c r="B37">
        <v>1</v>
      </c>
      <c r="C37">
        <v>2026</v>
      </c>
      <c r="D37">
        <v>2022</v>
      </c>
    </row>
    <row r="38" spans="1:4" x14ac:dyDescent="0.2">
      <c r="A38" t="s">
        <v>32</v>
      </c>
      <c r="B38">
        <v>43</v>
      </c>
      <c r="C38">
        <v>2030</v>
      </c>
      <c r="D38">
        <v>2022</v>
      </c>
    </row>
    <row r="39" spans="1:4" x14ac:dyDescent="0.2">
      <c r="A39" t="s">
        <v>33</v>
      </c>
      <c r="B39">
        <v>14</v>
      </c>
      <c r="C39">
        <v>2030</v>
      </c>
      <c r="D39">
        <v>2022</v>
      </c>
    </row>
    <row r="40" spans="1:4" x14ac:dyDescent="0.2">
      <c r="A40" t="s">
        <v>34</v>
      </c>
      <c r="B40">
        <v>39</v>
      </c>
      <c r="C40">
        <v>2030</v>
      </c>
      <c r="D40">
        <v>2022</v>
      </c>
    </row>
    <row r="41" spans="1:4" x14ac:dyDescent="0.2">
      <c r="A41" t="s">
        <v>35</v>
      </c>
      <c r="B41">
        <v>11</v>
      </c>
      <c r="C41">
        <v>2030</v>
      </c>
      <c r="D41">
        <v>2022</v>
      </c>
    </row>
    <row r="42" spans="1:4" x14ac:dyDescent="0.2">
      <c r="A42" t="s">
        <v>36</v>
      </c>
      <c r="B42">
        <v>18</v>
      </c>
      <c r="C42">
        <v>2030</v>
      </c>
      <c r="D42">
        <v>2022</v>
      </c>
    </row>
    <row r="43" spans="1:4" x14ac:dyDescent="0.2">
      <c r="A43" t="s">
        <v>37</v>
      </c>
      <c r="B43">
        <v>21</v>
      </c>
      <c r="C43">
        <v>2030</v>
      </c>
      <c r="D43">
        <v>2022</v>
      </c>
    </row>
    <row r="44" spans="1:4" x14ac:dyDescent="0.2">
      <c r="A44" t="s">
        <v>38</v>
      </c>
      <c r="B44">
        <v>24</v>
      </c>
      <c r="C44">
        <v>2030</v>
      </c>
      <c r="D44">
        <v>2022</v>
      </c>
    </row>
    <row r="45" spans="1:4" x14ac:dyDescent="0.2">
      <c r="A45" t="s">
        <v>39</v>
      </c>
      <c r="B45">
        <v>71</v>
      </c>
      <c r="C45">
        <v>2030</v>
      </c>
      <c r="D45">
        <v>2022</v>
      </c>
    </row>
    <row r="46" spans="1:4" x14ac:dyDescent="0.2">
      <c r="A46" t="s">
        <v>40</v>
      </c>
      <c r="B46">
        <v>4</v>
      </c>
      <c r="C46">
        <v>2030</v>
      </c>
      <c r="D46">
        <v>2022</v>
      </c>
    </row>
    <row r="47" spans="1:4" x14ac:dyDescent="0.2">
      <c r="A47" t="s">
        <v>41</v>
      </c>
      <c r="B47">
        <v>4</v>
      </c>
      <c r="C47">
        <v>2030</v>
      </c>
      <c r="D47">
        <v>2022</v>
      </c>
    </row>
    <row r="48" spans="1:4" x14ac:dyDescent="0.2">
      <c r="A48" t="s">
        <v>42</v>
      </c>
      <c r="B48">
        <v>1</v>
      </c>
      <c r="C48">
        <v>2030</v>
      </c>
      <c r="D48">
        <v>2022</v>
      </c>
    </row>
    <row r="49" spans="1:4" x14ac:dyDescent="0.2">
      <c r="A49" t="s">
        <v>43</v>
      </c>
      <c r="B49">
        <v>1</v>
      </c>
      <c r="C49">
        <v>2030</v>
      </c>
      <c r="D49">
        <v>2022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21"/>
  <dimension ref="A1:D261"/>
  <sheetViews>
    <sheetView workbookViewId="0">
      <selection activeCell="L55" sqref="L55"/>
    </sheetView>
  </sheetViews>
  <sheetFormatPr baseColWidth="10" defaultRowHeight="16" x14ac:dyDescent="0.2"/>
  <cols>
    <col min="1" max="1" width="22" customWidth="1"/>
    <col min="2" max="2" width="13.1640625" customWidth="1"/>
    <col min="3" max="3" width="12.33203125" customWidth="1"/>
  </cols>
  <sheetData>
    <row r="1" spans="1:4" x14ac:dyDescent="0.2">
      <c r="A1" t="s">
        <v>74</v>
      </c>
      <c r="B1" t="s">
        <v>77</v>
      </c>
      <c r="C1" t="s">
        <v>5</v>
      </c>
      <c r="D1" t="s">
        <v>78</v>
      </c>
    </row>
    <row r="2" spans="1:4" x14ac:dyDescent="0.2">
      <c r="A2" t="s">
        <v>33</v>
      </c>
      <c r="B2" t="s">
        <v>83</v>
      </c>
      <c r="C2">
        <v>2016</v>
      </c>
      <c r="D2" t="s">
        <v>82</v>
      </c>
    </row>
    <row r="3" spans="1:4" x14ac:dyDescent="0.2">
      <c r="A3" t="s">
        <v>35</v>
      </c>
      <c r="B3">
        <v>1</v>
      </c>
      <c r="C3">
        <v>2016</v>
      </c>
      <c r="D3" t="s">
        <v>82</v>
      </c>
    </row>
    <row r="4" spans="1:4" x14ac:dyDescent="0.2">
      <c r="A4" t="s">
        <v>43</v>
      </c>
      <c r="C4">
        <v>2016</v>
      </c>
      <c r="D4" t="s">
        <v>82</v>
      </c>
    </row>
    <row r="5" spans="1:4" x14ac:dyDescent="0.2">
      <c r="A5" t="s">
        <v>81</v>
      </c>
      <c r="C5">
        <v>2016</v>
      </c>
      <c r="D5" t="s">
        <v>82</v>
      </c>
    </row>
    <row r="6" spans="1:4" x14ac:dyDescent="0.2">
      <c r="A6" t="s">
        <v>79</v>
      </c>
      <c r="B6">
        <v>20</v>
      </c>
      <c r="C6">
        <v>2016</v>
      </c>
      <c r="D6" t="s">
        <v>82</v>
      </c>
    </row>
    <row r="7" spans="1:4" x14ac:dyDescent="0.2">
      <c r="A7" t="s">
        <v>34</v>
      </c>
      <c r="B7">
        <v>12</v>
      </c>
      <c r="C7">
        <v>2016</v>
      </c>
      <c r="D7" t="s">
        <v>82</v>
      </c>
    </row>
    <row r="8" spans="1:4" x14ac:dyDescent="0.2">
      <c r="A8" t="s">
        <v>38</v>
      </c>
      <c r="B8" t="s">
        <v>83</v>
      </c>
      <c r="C8">
        <v>2016</v>
      </c>
      <c r="D8" t="s">
        <v>82</v>
      </c>
    </row>
    <row r="9" spans="1:4" x14ac:dyDescent="0.2">
      <c r="A9" t="s">
        <v>37</v>
      </c>
      <c r="B9">
        <v>41</v>
      </c>
      <c r="C9">
        <v>2016</v>
      </c>
      <c r="D9" t="s">
        <v>82</v>
      </c>
    </row>
    <row r="10" spans="1:4" x14ac:dyDescent="0.2">
      <c r="A10" t="s">
        <v>80</v>
      </c>
      <c r="B10" t="s">
        <v>83</v>
      </c>
      <c r="C10">
        <v>2016</v>
      </c>
      <c r="D10" t="s">
        <v>82</v>
      </c>
    </row>
    <row r="11" spans="1:4" x14ac:dyDescent="0.2">
      <c r="A11" t="s">
        <v>40</v>
      </c>
      <c r="C11">
        <v>2016</v>
      </c>
      <c r="D11" t="s">
        <v>82</v>
      </c>
    </row>
    <row r="12" spans="1:4" x14ac:dyDescent="0.2">
      <c r="A12" t="s">
        <v>41</v>
      </c>
      <c r="C12">
        <v>2016</v>
      </c>
      <c r="D12" t="s">
        <v>82</v>
      </c>
    </row>
    <row r="13" spans="1:4" x14ac:dyDescent="0.2">
      <c r="A13" t="s">
        <v>42</v>
      </c>
      <c r="B13" t="s">
        <v>83</v>
      </c>
      <c r="C13">
        <v>2016</v>
      </c>
      <c r="D13" t="s">
        <v>82</v>
      </c>
    </row>
    <row r="14" spans="1:4" x14ac:dyDescent="0.2">
      <c r="A14" t="s">
        <v>75</v>
      </c>
      <c r="B14">
        <v>77</v>
      </c>
      <c r="C14">
        <v>2016</v>
      </c>
      <c r="D14" t="s">
        <v>82</v>
      </c>
    </row>
    <row r="15" spans="1:4" x14ac:dyDescent="0.2">
      <c r="A15" t="s">
        <v>33</v>
      </c>
      <c r="B15" t="s">
        <v>83</v>
      </c>
      <c r="C15">
        <v>2020</v>
      </c>
      <c r="D15" t="s">
        <v>82</v>
      </c>
    </row>
    <row r="16" spans="1:4" x14ac:dyDescent="0.2">
      <c r="A16" t="s">
        <v>35</v>
      </c>
      <c r="B16">
        <v>1</v>
      </c>
      <c r="C16">
        <v>2020</v>
      </c>
      <c r="D16" t="s">
        <v>82</v>
      </c>
    </row>
    <row r="17" spans="1:4" x14ac:dyDescent="0.2">
      <c r="A17" t="s">
        <v>43</v>
      </c>
      <c r="C17">
        <v>2020</v>
      </c>
      <c r="D17" t="s">
        <v>82</v>
      </c>
    </row>
    <row r="18" spans="1:4" x14ac:dyDescent="0.2">
      <c r="A18" t="s">
        <v>81</v>
      </c>
      <c r="C18">
        <v>2020</v>
      </c>
      <c r="D18" t="s">
        <v>82</v>
      </c>
    </row>
    <row r="19" spans="1:4" x14ac:dyDescent="0.2">
      <c r="A19" t="s">
        <v>79</v>
      </c>
      <c r="B19">
        <v>19</v>
      </c>
      <c r="C19">
        <v>2020</v>
      </c>
      <c r="D19" t="s">
        <v>82</v>
      </c>
    </row>
    <row r="20" spans="1:4" x14ac:dyDescent="0.2">
      <c r="A20" t="s">
        <v>34</v>
      </c>
      <c r="B20">
        <v>23</v>
      </c>
      <c r="C20">
        <v>2020</v>
      </c>
      <c r="D20" t="s">
        <v>82</v>
      </c>
    </row>
    <row r="21" spans="1:4" x14ac:dyDescent="0.2">
      <c r="A21" t="s">
        <v>38</v>
      </c>
      <c r="B21" t="s">
        <v>83</v>
      </c>
      <c r="C21">
        <v>2020</v>
      </c>
      <c r="D21" t="s">
        <v>82</v>
      </c>
    </row>
    <row r="22" spans="1:4" x14ac:dyDescent="0.2">
      <c r="A22" t="s">
        <v>37</v>
      </c>
      <c r="B22">
        <v>59</v>
      </c>
      <c r="C22">
        <v>2020</v>
      </c>
      <c r="D22" t="s">
        <v>82</v>
      </c>
    </row>
    <row r="23" spans="1:4" x14ac:dyDescent="0.2">
      <c r="A23" t="s">
        <v>80</v>
      </c>
      <c r="B23">
        <v>1</v>
      </c>
      <c r="C23">
        <v>2020</v>
      </c>
      <c r="D23" t="s">
        <v>82</v>
      </c>
    </row>
    <row r="24" spans="1:4" x14ac:dyDescent="0.2">
      <c r="A24" t="s">
        <v>40</v>
      </c>
      <c r="C24">
        <v>2020</v>
      </c>
      <c r="D24" t="s">
        <v>82</v>
      </c>
    </row>
    <row r="25" spans="1:4" x14ac:dyDescent="0.2">
      <c r="A25" t="s">
        <v>41</v>
      </c>
      <c r="C25">
        <v>2020</v>
      </c>
      <c r="D25" t="s">
        <v>82</v>
      </c>
    </row>
    <row r="26" spans="1:4" x14ac:dyDescent="0.2">
      <c r="A26" t="s">
        <v>42</v>
      </c>
      <c r="B26" t="s">
        <v>83</v>
      </c>
      <c r="C26">
        <v>2020</v>
      </c>
      <c r="D26" t="s">
        <v>82</v>
      </c>
    </row>
    <row r="27" spans="1:4" x14ac:dyDescent="0.2">
      <c r="A27" t="s">
        <v>75</v>
      </c>
      <c r="B27">
        <v>107</v>
      </c>
      <c r="C27">
        <v>2020</v>
      </c>
      <c r="D27" t="s">
        <v>82</v>
      </c>
    </row>
    <row r="28" spans="1:4" x14ac:dyDescent="0.2">
      <c r="A28" t="s">
        <v>33</v>
      </c>
      <c r="B28" t="s">
        <v>83</v>
      </c>
      <c r="C28">
        <v>2022</v>
      </c>
      <c r="D28" t="s">
        <v>82</v>
      </c>
    </row>
    <row r="29" spans="1:4" x14ac:dyDescent="0.2">
      <c r="A29" t="s">
        <v>35</v>
      </c>
      <c r="B29">
        <v>1</v>
      </c>
      <c r="C29">
        <v>2022</v>
      </c>
      <c r="D29" t="s">
        <v>82</v>
      </c>
    </row>
    <row r="30" spans="1:4" x14ac:dyDescent="0.2">
      <c r="A30" t="s">
        <v>43</v>
      </c>
      <c r="C30">
        <v>2022</v>
      </c>
      <c r="D30" t="s">
        <v>82</v>
      </c>
    </row>
    <row r="31" spans="1:4" x14ac:dyDescent="0.2">
      <c r="A31" t="s">
        <v>81</v>
      </c>
      <c r="C31">
        <v>2022</v>
      </c>
      <c r="D31" t="s">
        <v>82</v>
      </c>
    </row>
    <row r="32" spans="1:4" x14ac:dyDescent="0.2">
      <c r="A32" t="s">
        <v>79</v>
      </c>
      <c r="B32">
        <v>31</v>
      </c>
      <c r="C32">
        <v>2022</v>
      </c>
      <c r="D32" t="s">
        <v>82</v>
      </c>
    </row>
    <row r="33" spans="1:4" x14ac:dyDescent="0.2">
      <c r="A33" t="s">
        <v>34</v>
      </c>
      <c r="B33">
        <v>32</v>
      </c>
      <c r="C33">
        <v>2022</v>
      </c>
      <c r="D33" t="s">
        <v>82</v>
      </c>
    </row>
    <row r="34" spans="1:4" x14ac:dyDescent="0.2">
      <c r="A34" t="s">
        <v>38</v>
      </c>
      <c r="B34" t="s">
        <v>83</v>
      </c>
      <c r="C34">
        <v>2022</v>
      </c>
      <c r="D34" t="s">
        <v>82</v>
      </c>
    </row>
    <row r="35" spans="1:4" x14ac:dyDescent="0.2">
      <c r="A35" t="s">
        <v>37</v>
      </c>
      <c r="B35">
        <v>65</v>
      </c>
      <c r="C35">
        <v>2022</v>
      </c>
      <c r="D35" t="s">
        <v>82</v>
      </c>
    </row>
    <row r="36" spans="1:4" x14ac:dyDescent="0.2">
      <c r="A36" t="s">
        <v>80</v>
      </c>
      <c r="B36">
        <v>2</v>
      </c>
      <c r="C36">
        <v>2022</v>
      </c>
      <c r="D36" t="s">
        <v>82</v>
      </c>
    </row>
    <row r="37" spans="1:4" x14ac:dyDescent="0.2">
      <c r="A37" t="s">
        <v>40</v>
      </c>
      <c r="C37">
        <v>2022</v>
      </c>
      <c r="D37" t="s">
        <v>82</v>
      </c>
    </row>
    <row r="38" spans="1:4" x14ac:dyDescent="0.2">
      <c r="A38" t="s">
        <v>41</v>
      </c>
      <c r="C38">
        <v>2022</v>
      </c>
      <c r="D38" t="s">
        <v>82</v>
      </c>
    </row>
    <row r="39" spans="1:4" x14ac:dyDescent="0.2">
      <c r="A39" t="s">
        <v>42</v>
      </c>
      <c r="B39" t="s">
        <v>83</v>
      </c>
      <c r="C39">
        <v>2022</v>
      </c>
      <c r="D39" t="s">
        <v>82</v>
      </c>
    </row>
    <row r="40" spans="1:4" x14ac:dyDescent="0.2">
      <c r="A40" t="s">
        <v>75</v>
      </c>
      <c r="B40">
        <v>133</v>
      </c>
      <c r="C40">
        <v>2022</v>
      </c>
      <c r="D40" t="s">
        <v>82</v>
      </c>
    </row>
    <row r="41" spans="1:4" x14ac:dyDescent="0.2">
      <c r="A41" t="s">
        <v>33</v>
      </c>
      <c r="B41" t="s">
        <v>83</v>
      </c>
      <c r="C41">
        <v>2026</v>
      </c>
      <c r="D41" t="s">
        <v>82</v>
      </c>
    </row>
    <row r="42" spans="1:4" x14ac:dyDescent="0.2">
      <c r="A42" t="s">
        <v>35</v>
      </c>
      <c r="B42" t="s">
        <v>83</v>
      </c>
      <c r="C42">
        <v>2026</v>
      </c>
      <c r="D42" t="s">
        <v>82</v>
      </c>
    </row>
    <row r="43" spans="1:4" x14ac:dyDescent="0.2">
      <c r="A43" t="s">
        <v>43</v>
      </c>
      <c r="C43">
        <v>2026</v>
      </c>
      <c r="D43" t="s">
        <v>82</v>
      </c>
    </row>
    <row r="44" spans="1:4" x14ac:dyDescent="0.2">
      <c r="A44" t="s">
        <v>81</v>
      </c>
      <c r="C44">
        <v>2026</v>
      </c>
      <c r="D44" t="s">
        <v>82</v>
      </c>
    </row>
    <row r="45" spans="1:4" x14ac:dyDescent="0.2">
      <c r="A45" t="s">
        <v>79</v>
      </c>
      <c r="B45">
        <v>30</v>
      </c>
      <c r="C45">
        <v>2026</v>
      </c>
      <c r="D45" t="s">
        <v>82</v>
      </c>
    </row>
    <row r="46" spans="1:4" x14ac:dyDescent="0.2">
      <c r="A46" t="s">
        <v>34</v>
      </c>
      <c r="B46">
        <v>30</v>
      </c>
      <c r="C46">
        <v>2026</v>
      </c>
      <c r="D46" t="s">
        <v>82</v>
      </c>
    </row>
    <row r="47" spans="1:4" x14ac:dyDescent="0.2">
      <c r="A47" t="s">
        <v>38</v>
      </c>
      <c r="B47" t="s">
        <v>83</v>
      </c>
      <c r="C47">
        <v>2026</v>
      </c>
      <c r="D47" t="s">
        <v>82</v>
      </c>
    </row>
    <row r="48" spans="1:4" x14ac:dyDescent="0.2">
      <c r="A48" t="s">
        <v>37</v>
      </c>
      <c r="B48">
        <v>67</v>
      </c>
      <c r="C48">
        <v>2026</v>
      </c>
      <c r="D48" t="s">
        <v>82</v>
      </c>
    </row>
    <row r="49" spans="1:4" x14ac:dyDescent="0.2">
      <c r="A49" t="s">
        <v>80</v>
      </c>
      <c r="B49">
        <v>7</v>
      </c>
      <c r="C49">
        <v>2026</v>
      </c>
      <c r="D49" t="s">
        <v>82</v>
      </c>
    </row>
    <row r="50" spans="1:4" x14ac:dyDescent="0.2">
      <c r="A50" t="s">
        <v>40</v>
      </c>
      <c r="C50">
        <v>2026</v>
      </c>
      <c r="D50" t="s">
        <v>82</v>
      </c>
    </row>
    <row r="51" spans="1:4" x14ac:dyDescent="0.2">
      <c r="A51" t="s">
        <v>41</v>
      </c>
      <c r="C51">
        <v>2026</v>
      </c>
      <c r="D51" t="s">
        <v>82</v>
      </c>
    </row>
    <row r="52" spans="1:4" x14ac:dyDescent="0.2">
      <c r="A52" t="s">
        <v>42</v>
      </c>
      <c r="B52" t="s">
        <v>83</v>
      </c>
      <c r="C52">
        <v>2026</v>
      </c>
      <c r="D52" t="s">
        <v>82</v>
      </c>
    </row>
    <row r="53" spans="1:4" x14ac:dyDescent="0.2">
      <c r="A53" t="s">
        <v>75</v>
      </c>
      <c r="B53">
        <v>137</v>
      </c>
      <c r="C53">
        <v>2026</v>
      </c>
      <c r="D53" t="s">
        <v>82</v>
      </c>
    </row>
    <row r="54" spans="1:4" x14ac:dyDescent="0.2">
      <c r="A54" t="s">
        <v>33</v>
      </c>
      <c r="B54" t="s">
        <v>83</v>
      </c>
      <c r="C54">
        <v>2030</v>
      </c>
      <c r="D54" t="s">
        <v>82</v>
      </c>
    </row>
    <row r="55" spans="1:4" x14ac:dyDescent="0.2">
      <c r="A55" t="s">
        <v>35</v>
      </c>
      <c r="B55" t="s">
        <v>83</v>
      </c>
      <c r="C55">
        <v>2030</v>
      </c>
      <c r="D55" t="s">
        <v>82</v>
      </c>
    </row>
    <row r="56" spans="1:4" x14ac:dyDescent="0.2">
      <c r="A56" t="s">
        <v>43</v>
      </c>
      <c r="C56">
        <v>2030</v>
      </c>
      <c r="D56" t="s">
        <v>82</v>
      </c>
    </row>
    <row r="57" spans="1:4" x14ac:dyDescent="0.2">
      <c r="A57" t="s">
        <v>81</v>
      </c>
      <c r="C57">
        <v>2030</v>
      </c>
      <c r="D57" t="s">
        <v>82</v>
      </c>
    </row>
    <row r="58" spans="1:4" x14ac:dyDescent="0.2">
      <c r="A58" t="s">
        <v>79</v>
      </c>
      <c r="B58">
        <v>28</v>
      </c>
      <c r="C58">
        <v>2030</v>
      </c>
      <c r="D58" t="s">
        <v>82</v>
      </c>
    </row>
    <row r="59" spans="1:4" x14ac:dyDescent="0.2">
      <c r="A59" t="s">
        <v>34</v>
      </c>
      <c r="B59">
        <v>29</v>
      </c>
      <c r="C59">
        <v>2030</v>
      </c>
      <c r="D59" t="s">
        <v>82</v>
      </c>
    </row>
    <row r="60" spans="1:4" x14ac:dyDescent="0.2">
      <c r="A60" t="s">
        <v>38</v>
      </c>
      <c r="B60" t="s">
        <v>83</v>
      </c>
      <c r="C60">
        <v>2030</v>
      </c>
      <c r="D60" t="s">
        <v>82</v>
      </c>
    </row>
    <row r="61" spans="1:4" x14ac:dyDescent="0.2">
      <c r="A61" t="s">
        <v>37</v>
      </c>
      <c r="B61">
        <v>79</v>
      </c>
      <c r="C61">
        <v>2030</v>
      </c>
      <c r="D61" t="s">
        <v>82</v>
      </c>
    </row>
    <row r="62" spans="1:4" x14ac:dyDescent="0.2">
      <c r="A62" t="s">
        <v>80</v>
      </c>
      <c r="B62">
        <v>11</v>
      </c>
      <c r="C62">
        <v>2030</v>
      </c>
      <c r="D62" t="s">
        <v>82</v>
      </c>
    </row>
    <row r="63" spans="1:4" x14ac:dyDescent="0.2">
      <c r="A63" t="s">
        <v>40</v>
      </c>
      <c r="C63">
        <v>2030</v>
      </c>
      <c r="D63" t="s">
        <v>82</v>
      </c>
    </row>
    <row r="64" spans="1:4" x14ac:dyDescent="0.2">
      <c r="A64" t="s">
        <v>41</v>
      </c>
      <c r="C64">
        <v>2030</v>
      </c>
      <c r="D64" t="s">
        <v>82</v>
      </c>
    </row>
    <row r="65" spans="1:4" x14ac:dyDescent="0.2">
      <c r="A65" t="s">
        <v>42</v>
      </c>
      <c r="B65" t="s">
        <v>83</v>
      </c>
      <c r="C65">
        <v>2030</v>
      </c>
      <c r="D65" t="s">
        <v>82</v>
      </c>
    </row>
    <row r="66" spans="1:4" x14ac:dyDescent="0.2">
      <c r="A66" t="s">
        <v>75</v>
      </c>
      <c r="B66">
        <v>148</v>
      </c>
      <c r="C66">
        <v>2030</v>
      </c>
      <c r="D66" t="s">
        <v>82</v>
      </c>
    </row>
    <row r="67" spans="1:4" x14ac:dyDescent="0.2">
      <c r="A67" t="s">
        <v>33</v>
      </c>
      <c r="B67">
        <v>108</v>
      </c>
      <c r="C67">
        <v>2016</v>
      </c>
      <c r="D67" t="s">
        <v>84</v>
      </c>
    </row>
    <row r="68" spans="1:4" x14ac:dyDescent="0.2">
      <c r="A68" t="s">
        <v>35</v>
      </c>
      <c r="B68">
        <v>68</v>
      </c>
      <c r="C68">
        <v>2016</v>
      </c>
      <c r="D68" t="s">
        <v>84</v>
      </c>
    </row>
    <row r="69" spans="1:4" x14ac:dyDescent="0.2">
      <c r="A69" t="s">
        <v>43</v>
      </c>
      <c r="B69">
        <v>8</v>
      </c>
      <c r="C69">
        <v>2016</v>
      </c>
      <c r="D69" t="s">
        <v>84</v>
      </c>
    </row>
    <row r="70" spans="1:4" x14ac:dyDescent="0.2">
      <c r="A70" t="s">
        <v>81</v>
      </c>
      <c r="B70">
        <v>63</v>
      </c>
      <c r="C70">
        <v>2016</v>
      </c>
      <c r="D70" t="s">
        <v>84</v>
      </c>
    </row>
    <row r="71" spans="1:4" x14ac:dyDescent="0.2">
      <c r="A71" t="s">
        <v>79</v>
      </c>
      <c r="B71">
        <v>4</v>
      </c>
      <c r="C71">
        <v>2016</v>
      </c>
      <c r="D71" t="s">
        <v>84</v>
      </c>
    </row>
    <row r="72" spans="1:4" x14ac:dyDescent="0.2">
      <c r="A72" t="s">
        <v>34</v>
      </c>
      <c r="B72">
        <v>8</v>
      </c>
      <c r="C72">
        <v>2016</v>
      </c>
      <c r="D72" t="s">
        <v>84</v>
      </c>
    </row>
    <row r="73" spans="1:4" x14ac:dyDescent="0.2">
      <c r="A73" t="s">
        <v>38</v>
      </c>
      <c r="B73">
        <v>10</v>
      </c>
      <c r="C73">
        <v>2016</v>
      </c>
      <c r="D73" t="s">
        <v>84</v>
      </c>
    </row>
    <row r="74" spans="1:4" x14ac:dyDescent="0.2">
      <c r="A74" t="s">
        <v>37</v>
      </c>
      <c r="C74">
        <v>2016</v>
      </c>
      <c r="D74" t="s">
        <v>84</v>
      </c>
    </row>
    <row r="75" spans="1:4" x14ac:dyDescent="0.2">
      <c r="A75" t="s">
        <v>80</v>
      </c>
      <c r="B75">
        <v>2</v>
      </c>
      <c r="C75">
        <v>2016</v>
      </c>
      <c r="D75" t="s">
        <v>84</v>
      </c>
    </row>
    <row r="76" spans="1:4" x14ac:dyDescent="0.2">
      <c r="A76" t="s">
        <v>40</v>
      </c>
      <c r="B76">
        <v>6</v>
      </c>
      <c r="C76">
        <v>2016</v>
      </c>
      <c r="D76" t="s">
        <v>84</v>
      </c>
    </row>
    <row r="77" spans="1:4" x14ac:dyDescent="0.2">
      <c r="A77" t="s">
        <v>41</v>
      </c>
      <c r="B77">
        <v>6</v>
      </c>
      <c r="C77">
        <v>2016</v>
      </c>
      <c r="D77" t="s">
        <v>84</v>
      </c>
    </row>
    <row r="78" spans="1:4" x14ac:dyDescent="0.2">
      <c r="A78" t="s">
        <v>42</v>
      </c>
      <c r="B78">
        <v>2</v>
      </c>
      <c r="C78">
        <v>2016</v>
      </c>
      <c r="D78" t="s">
        <v>84</v>
      </c>
    </row>
    <row r="79" spans="1:4" x14ac:dyDescent="0.2">
      <c r="A79" t="s">
        <v>75</v>
      </c>
      <c r="B79">
        <v>287</v>
      </c>
      <c r="C79">
        <v>2016</v>
      </c>
      <c r="D79" t="s">
        <v>84</v>
      </c>
    </row>
    <row r="80" spans="1:4" x14ac:dyDescent="0.2">
      <c r="A80" t="s">
        <v>33</v>
      </c>
      <c r="B80">
        <v>102</v>
      </c>
      <c r="C80">
        <v>2020</v>
      </c>
      <c r="D80" t="s">
        <v>84</v>
      </c>
    </row>
    <row r="81" spans="1:4" x14ac:dyDescent="0.2">
      <c r="A81" t="s">
        <v>35</v>
      </c>
      <c r="B81">
        <v>69</v>
      </c>
      <c r="C81">
        <v>2020</v>
      </c>
      <c r="D81" t="s">
        <v>84</v>
      </c>
    </row>
    <row r="82" spans="1:4" x14ac:dyDescent="0.2">
      <c r="A82" t="s">
        <v>43</v>
      </c>
      <c r="B82">
        <v>8</v>
      </c>
      <c r="C82">
        <v>2020</v>
      </c>
      <c r="D82" t="s">
        <v>84</v>
      </c>
    </row>
    <row r="83" spans="1:4" x14ac:dyDescent="0.2">
      <c r="A83" t="s">
        <v>81</v>
      </c>
      <c r="B83">
        <v>70</v>
      </c>
      <c r="C83">
        <v>2020</v>
      </c>
      <c r="D83" t="s">
        <v>84</v>
      </c>
    </row>
    <row r="84" spans="1:4" x14ac:dyDescent="0.2">
      <c r="A84" t="s">
        <v>79</v>
      </c>
      <c r="B84">
        <v>4</v>
      </c>
      <c r="C84">
        <v>2020</v>
      </c>
      <c r="D84" t="s">
        <v>84</v>
      </c>
    </row>
    <row r="85" spans="1:4" x14ac:dyDescent="0.2">
      <c r="A85" t="s">
        <v>34</v>
      </c>
      <c r="B85">
        <v>10</v>
      </c>
      <c r="C85">
        <v>2020</v>
      </c>
      <c r="D85" t="s">
        <v>84</v>
      </c>
    </row>
    <row r="86" spans="1:4" x14ac:dyDescent="0.2">
      <c r="A86" t="s">
        <v>38</v>
      </c>
      <c r="B86">
        <v>14</v>
      </c>
      <c r="C86">
        <v>2020</v>
      </c>
      <c r="D86" t="s">
        <v>84</v>
      </c>
    </row>
    <row r="87" spans="1:4" x14ac:dyDescent="0.2">
      <c r="A87" t="s">
        <v>37</v>
      </c>
      <c r="C87">
        <v>2020</v>
      </c>
      <c r="D87" t="s">
        <v>84</v>
      </c>
    </row>
    <row r="88" spans="1:4" x14ac:dyDescent="0.2">
      <c r="A88" t="s">
        <v>80</v>
      </c>
      <c r="B88">
        <v>5</v>
      </c>
      <c r="C88">
        <v>2020</v>
      </c>
      <c r="D88" t="s">
        <v>84</v>
      </c>
    </row>
    <row r="89" spans="1:4" x14ac:dyDescent="0.2">
      <c r="A89" t="s">
        <v>40</v>
      </c>
      <c r="B89">
        <v>6</v>
      </c>
      <c r="C89">
        <v>2020</v>
      </c>
      <c r="D89" t="s">
        <v>84</v>
      </c>
    </row>
    <row r="90" spans="1:4" x14ac:dyDescent="0.2">
      <c r="A90" t="s">
        <v>41</v>
      </c>
      <c r="B90">
        <v>6</v>
      </c>
      <c r="C90">
        <v>2020</v>
      </c>
      <c r="D90" t="s">
        <v>84</v>
      </c>
    </row>
    <row r="91" spans="1:4" x14ac:dyDescent="0.2">
      <c r="A91" t="s">
        <v>42</v>
      </c>
      <c r="B91">
        <v>2</v>
      </c>
      <c r="C91">
        <v>2020</v>
      </c>
      <c r="D91" t="s">
        <v>84</v>
      </c>
    </row>
    <row r="92" spans="1:4" x14ac:dyDescent="0.2">
      <c r="A92" t="s">
        <v>75</v>
      </c>
      <c r="B92">
        <v>299</v>
      </c>
      <c r="C92">
        <v>2020</v>
      </c>
      <c r="D92" t="s">
        <v>84</v>
      </c>
    </row>
    <row r="93" spans="1:4" x14ac:dyDescent="0.2">
      <c r="A93" t="s">
        <v>33</v>
      </c>
      <c r="B93">
        <v>93</v>
      </c>
      <c r="C93">
        <v>2022</v>
      </c>
      <c r="D93" t="s">
        <v>84</v>
      </c>
    </row>
    <row r="94" spans="1:4" x14ac:dyDescent="0.2">
      <c r="A94" t="s">
        <v>35</v>
      </c>
      <c r="B94">
        <v>57</v>
      </c>
      <c r="C94">
        <v>2022</v>
      </c>
      <c r="D94" t="s">
        <v>84</v>
      </c>
    </row>
    <row r="95" spans="1:4" x14ac:dyDescent="0.2">
      <c r="A95" t="s">
        <v>43</v>
      </c>
      <c r="B95">
        <v>5</v>
      </c>
      <c r="C95">
        <v>2022</v>
      </c>
      <c r="D95" t="s">
        <v>84</v>
      </c>
    </row>
    <row r="96" spans="1:4" x14ac:dyDescent="0.2">
      <c r="A96" t="s">
        <v>81</v>
      </c>
      <c r="B96">
        <v>82</v>
      </c>
      <c r="C96">
        <v>2022</v>
      </c>
      <c r="D96" t="s">
        <v>84</v>
      </c>
    </row>
    <row r="97" spans="1:4" x14ac:dyDescent="0.2">
      <c r="A97" t="s">
        <v>79</v>
      </c>
      <c r="B97">
        <v>5</v>
      </c>
      <c r="C97">
        <v>2022</v>
      </c>
      <c r="D97" t="s">
        <v>84</v>
      </c>
    </row>
    <row r="98" spans="1:4" x14ac:dyDescent="0.2">
      <c r="A98" t="s">
        <v>34</v>
      </c>
      <c r="B98">
        <v>12</v>
      </c>
      <c r="C98">
        <v>2022</v>
      </c>
      <c r="D98" t="s">
        <v>84</v>
      </c>
    </row>
    <row r="99" spans="1:4" x14ac:dyDescent="0.2">
      <c r="A99" t="s">
        <v>38</v>
      </c>
      <c r="B99">
        <v>23</v>
      </c>
      <c r="C99">
        <v>2022</v>
      </c>
      <c r="D99" t="s">
        <v>84</v>
      </c>
    </row>
    <row r="100" spans="1:4" x14ac:dyDescent="0.2">
      <c r="A100" t="s">
        <v>37</v>
      </c>
      <c r="C100">
        <v>2022</v>
      </c>
      <c r="D100" t="s">
        <v>84</v>
      </c>
    </row>
    <row r="101" spans="1:4" x14ac:dyDescent="0.2">
      <c r="A101" t="s">
        <v>80</v>
      </c>
      <c r="B101">
        <v>9</v>
      </c>
      <c r="C101">
        <v>2022</v>
      </c>
      <c r="D101" t="s">
        <v>84</v>
      </c>
    </row>
    <row r="102" spans="1:4" x14ac:dyDescent="0.2">
      <c r="A102" t="s">
        <v>40</v>
      </c>
      <c r="B102">
        <v>7</v>
      </c>
      <c r="C102">
        <v>2022</v>
      </c>
      <c r="D102" t="s">
        <v>84</v>
      </c>
    </row>
    <row r="103" spans="1:4" x14ac:dyDescent="0.2">
      <c r="A103" t="s">
        <v>41</v>
      </c>
      <c r="B103">
        <v>7</v>
      </c>
      <c r="C103">
        <v>2022</v>
      </c>
      <c r="D103" t="s">
        <v>84</v>
      </c>
    </row>
    <row r="104" spans="1:4" x14ac:dyDescent="0.2">
      <c r="A104" t="s">
        <v>42</v>
      </c>
      <c r="B104">
        <v>2</v>
      </c>
      <c r="C104">
        <v>2022</v>
      </c>
      <c r="D104" t="s">
        <v>84</v>
      </c>
    </row>
    <row r="105" spans="1:4" x14ac:dyDescent="0.2">
      <c r="A105" t="s">
        <v>75</v>
      </c>
      <c r="B105">
        <v>301</v>
      </c>
      <c r="C105">
        <v>2022</v>
      </c>
      <c r="D105" t="s">
        <v>84</v>
      </c>
    </row>
    <row r="106" spans="1:4" x14ac:dyDescent="0.2">
      <c r="A106" t="s">
        <v>33</v>
      </c>
      <c r="B106">
        <v>78</v>
      </c>
      <c r="C106">
        <v>2026</v>
      </c>
      <c r="D106" t="s">
        <v>84</v>
      </c>
    </row>
    <row r="107" spans="1:4" x14ac:dyDescent="0.2">
      <c r="A107" t="s">
        <v>35</v>
      </c>
      <c r="B107">
        <v>49</v>
      </c>
      <c r="C107">
        <v>2026</v>
      </c>
      <c r="D107" t="s">
        <v>84</v>
      </c>
    </row>
    <row r="108" spans="1:4" x14ac:dyDescent="0.2">
      <c r="A108" t="s">
        <v>43</v>
      </c>
      <c r="B108">
        <v>5</v>
      </c>
      <c r="C108">
        <v>2026</v>
      </c>
      <c r="D108" t="s">
        <v>84</v>
      </c>
    </row>
    <row r="109" spans="1:4" x14ac:dyDescent="0.2">
      <c r="A109" t="s">
        <v>81</v>
      </c>
      <c r="B109">
        <v>83</v>
      </c>
      <c r="C109">
        <v>2026</v>
      </c>
      <c r="D109" t="s">
        <v>84</v>
      </c>
    </row>
    <row r="110" spans="1:4" x14ac:dyDescent="0.2">
      <c r="A110" t="s">
        <v>79</v>
      </c>
      <c r="B110">
        <v>5</v>
      </c>
      <c r="C110">
        <v>2026</v>
      </c>
      <c r="D110" t="s">
        <v>84</v>
      </c>
    </row>
    <row r="111" spans="1:4" x14ac:dyDescent="0.2">
      <c r="A111" t="s">
        <v>34</v>
      </c>
      <c r="B111">
        <v>15</v>
      </c>
      <c r="C111">
        <v>2026</v>
      </c>
      <c r="D111" t="s">
        <v>84</v>
      </c>
    </row>
    <row r="112" spans="1:4" x14ac:dyDescent="0.2">
      <c r="A112" t="s">
        <v>38</v>
      </c>
      <c r="B112">
        <v>27</v>
      </c>
      <c r="C112">
        <v>2026</v>
      </c>
      <c r="D112" t="s">
        <v>84</v>
      </c>
    </row>
    <row r="113" spans="1:4" x14ac:dyDescent="0.2">
      <c r="A113" t="s">
        <v>37</v>
      </c>
      <c r="C113">
        <v>2026</v>
      </c>
      <c r="D113" t="s">
        <v>84</v>
      </c>
    </row>
    <row r="114" spans="1:4" x14ac:dyDescent="0.2">
      <c r="A114" t="s">
        <v>80</v>
      </c>
      <c r="B114">
        <v>26</v>
      </c>
      <c r="C114">
        <v>2026</v>
      </c>
      <c r="D114" t="s">
        <v>84</v>
      </c>
    </row>
    <row r="115" spans="1:4" x14ac:dyDescent="0.2">
      <c r="A115" t="s">
        <v>40</v>
      </c>
      <c r="B115">
        <v>6</v>
      </c>
      <c r="C115">
        <v>2026</v>
      </c>
      <c r="D115" t="s">
        <v>84</v>
      </c>
    </row>
    <row r="116" spans="1:4" x14ac:dyDescent="0.2">
      <c r="A116" t="s">
        <v>41</v>
      </c>
      <c r="B116">
        <v>7</v>
      </c>
      <c r="C116">
        <v>2026</v>
      </c>
      <c r="D116" t="s">
        <v>84</v>
      </c>
    </row>
    <row r="117" spans="1:4" x14ac:dyDescent="0.2">
      <c r="A117" t="s">
        <v>42</v>
      </c>
      <c r="B117">
        <v>1</v>
      </c>
      <c r="C117">
        <v>2026</v>
      </c>
      <c r="D117" t="s">
        <v>84</v>
      </c>
    </row>
    <row r="118" spans="1:4" x14ac:dyDescent="0.2">
      <c r="A118" t="s">
        <v>75</v>
      </c>
      <c r="B118">
        <v>302</v>
      </c>
      <c r="C118">
        <v>2026</v>
      </c>
      <c r="D118" t="s">
        <v>84</v>
      </c>
    </row>
    <row r="119" spans="1:4" x14ac:dyDescent="0.2">
      <c r="A119" t="s">
        <v>33</v>
      </c>
      <c r="B119">
        <v>59</v>
      </c>
      <c r="C119">
        <v>2030</v>
      </c>
      <c r="D119" t="s">
        <v>84</v>
      </c>
    </row>
    <row r="120" spans="1:4" x14ac:dyDescent="0.2">
      <c r="A120" t="s">
        <v>35</v>
      </c>
      <c r="B120">
        <v>38</v>
      </c>
      <c r="C120">
        <v>2030</v>
      </c>
      <c r="D120" t="s">
        <v>84</v>
      </c>
    </row>
    <row r="121" spans="1:4" x14ac:dyDescent="0.2">
      <c r="A121" t="s">
        <v>43</v>
      </c>
      <c r="B121">
        <v>4</v>
      </c>
      <c r="C121">
        <v>2030</v>
      </c>
      <c r="D121" t="s">
        <v>84</v>
      </c>
    </row>
    <row r="122" spans="1:4" x14ac:dyDescent="0.2">
      <c r="A122" t="s">
        <v>81</v>
      </c>
      <c r="B122">
        <v>86</v>
      </c>
      <c r="C122">
        <v>2030</v>
      </c>
      <c r="D122" t="s">
        <v>84</v>
      </c>
    </row>
    <row r="123" spans="1:4" x14ac:dyDescent="0.2">
      <c r="A123" t="s">
        <v>79</v>
      </c>
      <c r="B123">
        <v>5</v>
      </c>
      <c r="C123">
        <v>2030</v>
      </c>
      <c r="D123" t="s">
        <v>84</v>
      </c>
    </row>
    <row r="124" spans="1:4" x14ac:dyDescent="0.2">
      <c r="A124" t="s">
        <v>34</v>
      </c>
      <c r="B124">
        <v>21</v>
      </c>
      <c r="C124">
        <v>2030</v>
      </c>
      <c r="D124" t="s">
        <v>84</v>
      </c>
    </row>
    <row r="125" spans="1:4" x14ac:dyDescent="0.2">
      <c r="A125" t="s">
        <v>38</v>
      </c>
      <c r="B125">
        <v>27</v>
      </c>
      <c r="C125">
        <v>2030</v>
      </c>
      <c r="D125" t="s">
        <v>84</v>
      </c>
    </row>
    <row r="126" spans="1:4" x14ac:dyDescent="0.2">
      <c r="A126" t="s">
        <v>37</v>
      </c>
      <c r="C126">
        <v>2030</v>
      </c>
      <c r="D126" t="s">
        <v>84</v>
      </c>
    </row>
    <row r="127" spans="1:4" x14ac:dyDescent="0.2">
      <c r="A127" t="s">
        <v>80</v>
      </c>
      <c r="B127">
        <v>50</v>
      </c>
      <c r="C127">
        <v>2030</v>
      </c>
      <c r="D127" t="s">
        <v>84</v>
      </c>
    </row>
    <row r="128" spans="1:4" x14ac:dyDescent="0.2">
      <c r="A128" t="s">
        <v>40</v>
      </c>
      <c r="B128">
        <v>6</v>
      </c>
      <c r="C128">
        <v>2030</v>
      </c>
      <c r="D128" t="s">
        <v>84</v>
      </c>
    </row>
    <row r="129" spans="1:4" x14ac:dyDescent="0.2">
      <c r="A129" t="s">
        <v>41</v>
      </c>
      <c r="B129">
        <v>6</v>
      </c>
      <c r="C129">
        <v>2030</v>
      </c>
      <c r="D129" t="s">
        <v>84</v>
      </c>
    </row>
    <row r="130" spans="1:4" x14ac:dyDescent="0.2">
      <c r="A130" t="s">
        <v>42</v>
      </c>
      <c r="B130">
        <v>2</v>
      </c>
      <c r="C130">
        <v>2030</v>
      </c>
      <c r="D130" t="s">
        <v>84</v>
      </c>
    </row>
    <row r="131" spans="1:4" x14ac:dyDescent="0.2">
      <c r="A131" t="s">
        <v>75</v>
      </c>
      <c r="B131">
        <v>304</v>
      </c>
      <c r="C131">
        <v>2030</v>
      </c>
      <c r="D131" t="s">
        <v>84</v>
      </c>
    </row>
    <row r="132" spans="1:4" x14ac:dyDescent="0.2">
      <c r="A132" t="s">
        <v>33</v>
      </c>
      <c r="B132">
        <v>1</v>
      </c>
      <c r="C132">
        <v>2016</v>
      </c>
      <c r="D132" t="s">
        <v>85</v>
      </c>
    </row>
    <row r="133" spans="1:4" x14ac:dyDescent="0.2">
      <c r="A133" t="s">
        <v>35</v>
      </c>
      <c r="B133" t="s">
        <v>83</v>
      </c>
      <c r="C133">
        <v>2016</v>
      </c>
      <c r="D133" t="s">
        <v>85</v>
      </c>
    </row>
    <row r="134" spans="1:4" x14ac:dyDescent="0.2">
      <c r="A134" t="s">
        <v>43</v>
      </c>
      <c r="B134">
        <v>3</v>
      </c>
      <c r="C134">
        <v>2016</v>
      </c>
      <c r="D134" t="s">
        <v>85</v>
      </c>
    </row>
    <row r="135" spans="1:4" x14ac:dyDescent="0.2">
      <c r="A135" t="s">
        <v>81</v>
      </c>
      <c r="C135">
        <v>2016</v>
      </c>
      <c r="D135" t="s">
        <v>85</v>
      </c>
    </row>
    <row r="136" spans="1:4" x14ac:dyDescent="0.2">
      <c r="A136" t="s">
        <v>79</v>
      </c>
      <c r="B136">
        <v>15</v>
      </c>
      <c r="C136">
        <v>2016</v>
      </c>
      <c r="D136" t="s">
        <v>85</v>
      </c>
    </row>
    <row r="137" spans="1:4" x14ac:dyDescent="0.2">
      <c r="A137" t="s">
        <v>34</v>
      </c>
      <c r="B137">
        <v>9</v>
      </c>
      <c r="C137">
        <v>2016</v>
      </c>
      <c r="D137" t="s">
        <v>85</v>
      </c>
    </row>
    <row r="138" spans="1:4" x14ac:dyDescent="0.2">
      <c r="A138" t="s">
        <v>38</v>
      </c>
      <c r="B138">
        <v>6</v>
      </c>
      <c r="C138">
        <v>2016</v>
      </c>
      <c r="D138" t="s">
        <v>85</v>
      </c>
    </row>
    <row r="139" spans="1:4" x14ac:dyDescent="0.2">
      <c r="A139" t="s">
        <v>37</v>
      </c>
      <c r="C139">
        <v>2016</v>
      </c>
      <c r="D139" t="s">
        <v>85</v>
      </c>
    </row>
    <row r="140" spans="1:4" x14ac:dyDescent="0.2">
      <c r="A140" t="s">
        <v>80</v>
      </c>
      <c r="B140" t="s">
        <v>83</v>
      </c>
      <c r="C140">
        <v>2016</v>
      </c>
      <c r="D140" t="s">
        <v>85</v>
      </c>
    </row>
    <row r="141" spans="1:4" x14ac:dyDescent="0.2">
      <c r="A141" t="s">
        <v>40</v>
      </c>
      <c r="B141" t="s">
        <v>83</v>
      </c>
      <c r="C141">
        <v>2016</v>
      </c>
      <c r="D141" t="s">
        <v>85</v>
      </c>
    </row>
    <row r="142" spans="1:4" x14ac:dyDescent="0.2">
      <c r="A142" t="s">
        <v>41</v>
      </c>
      <c r="B142">
        <v>2</v>
      </c>
      <c r="C142">
        <v>2016</v>
      </c>
      <c r="D142" t="s">
        <v>85</v>
      </c>
    </row>
    <row r="143" spans="1:4" x14ac:dyDescent="0.2">
      <c r="A143" t="s">
        <v>42</v>
      </c>
      <c r="B143">
        <v>3</v>
      </c>
      <c r="C143">
        <v>2016</v>
      </c>
      <c r="D143" t="s">
        <v>85</v>
      </c>
    </row>
    <row r="144" spans="1:4" x14ac:dyDescent="0.2">
      <c r="A144" t="s">
        <v>75</v>
      </c>
      <c r="B144">
        <v>41</v>
      </c>
      <c r="C144">
        <v>2016</v>
      </c>
      <c r="D144" t="s">
        <v>85</v>
      </c>
    </row>
    <row r="145" spans="1:4" x14ac:dyDescent="0.2">
      <c r="A145" t="s">
        <v>33</v>
      </c>
      <c r="B145">
        <v>1</v>
      </c>
      <c r="C145">
        <v>2020</v>
      </c>
      <c r="D145" t="s">
        <v>85</v>
      </c>
    </row>
    <row r="146" spans="1:4" x14ac:dyDescent="0.2">
      <c r="A146" t="s">
        <v>35</v>
      </c>
      <c r="B146" t="s">
        <v>83</v>
      </c>
      <c r="C146">
        <v>2020</v>
      </c>
      <c r="D146" t="s">
        <v>85</v>
      </c>
    </row>
    <row r="147" spans="1:4" x14ac:dyDescent="0.2">
      <c r="A147" t="s">
        <v>43</v>
      </c>
      <c r="B147">
        <v>3</v>
      </c>
      <c r="C147">
        <v>2020</v>
      </c>
      <c r="D147" t="s">
        <v>85</v>
      </c>
    </row>
    <row r="148" spans="1:4" x14ac:dyDescent="0.2">
      <c r="A148" t="s">
        <v>81</v>
      </c>
      <c r="C148">
        <v>2020</v>
      </c>
      <c r="D148" t="s">
        <v>85</v>
      </c>
    </row>
    <row r="149" spans="1:4" x14ac:dyDescent="0.2">
      <c r="A149" t="s">
        <v>79</v>
      </c>
      <c r="B149">
        <v>15</v>
      </c>
      <c r="C149">
        <v>2020</v>
      </c>
      <c r="D149" t="s">
        <v>85</v>
      </c>
    </row>
    <row r="150" spans="1:4" x14ac:dyDescent="0.2">
      <c r="A150" t="s">
        <v>34</v>
      </c>
      <c r="B150">
        <v>13</v>
      </c>
      <c r="C150">
        <v>2020</v>
      </c>
      <c r="D150" t="s">
        <v>85</v>
      </c>
    </row>
    <row r="151" spans="1:4" x14ac:dyDescent="0.2">
      <c r="A151" t="s">
        <v>38</v>
      </c>
      <c r="B151">
        <v>6</v>
      </c>
      <c r="C151">
        <v>2020</v>
      </c>
      <c r="D151" t="s">
        <v>85</v>
      </c>
    </row>
    <row r="152" spans="1:4" x14ac:dyDescent="0.2">
      <c r="A152" t="s">
        <v>37</v>
      </c>
      <c r="C152">
        <v>2020</v>
      </c>
      <c r="D152" t="s">
        <v>85</v>
      </c>
    </row>
    <row r="153" spans="1:4" x14ac:dyDescent="0.2">
      <c r="A153" t="s">
        <v>80</v>
      </c>
      <c r="B153">
        <v>2</v>
      </c>
      <c r="C153">
        <v>2020</v>
      </c>
      <c r="D153" t="s">
        <v>85</v>
      </c>
    </row>
    <row r="154" spans="1:4" x14ac:dyDescent="0.2">
      <c r="A154" t="s">
        <v>40</v>
      </c>
      <c r="B154" t="s">
        <v>83</v>
      </c>
      <c r="C154">
        <v>2020</v>
      </c>
      <c r="D154" t="s">
        <v>85</v>
      </c>
    </row>
    <row r="155" spans="1:4" x14ac:dyDescent="0.2">
      <c r="A155" t="s">
        <v>41</v>
      </c>
      <c r="B155">
        <v>2</v>
      </c>
      <c r="C155">
        <v>2020</v>
      </c>
      <c r="D155" t="s">
        <v>85</v>
      </c>
    </row>
    <row r="156" spans="1:4" x14ac:dyDescent="0.2">
      <c r="A156" t="s">
        <v>42</v>
      </c>
      <c r="B156">
        <v>3</v>
      </c>
      <c r="C156">
        <v>2020</v>
      </c>
      <c r="D156" t="s">
        <v>85</v>
      </c>
    </row>
    <row r="157" spans="1:4" x14ac:dyDescent="0.2">
      <c r="A157" t="s">
        <v>75</v>
      </c>
      <c r="B157">
        <v>45</v>
      </c>
      <c r="C157">
        <v>2020</v>
      </c>
      <c r="D157" t="s">
        <v>85</v>
      </c>
    </row>
    <row r="158" spans="1:4" x14ac:dyDescent="0.2">
      <c r="A158" t="s">
        <v>33</v>
      </c>
      <c r="B158">
        <v>1</v>
      </c>
      <c r="C158">
        <v>2022</v>
      </c>
      <c r="D158" t="s">
        <v>85</v>
      </c>
    </row>
    <row r="159" spans="1:4" x14ac:dyDescent="0.2">
      <c r="A159" t="s">
        <v>35</v>
      </c>
      <c r="B159" t="s">
        <v>83</v>
      </c>
      <c r="C159">
        <v>2022</v>
      </c>
      <c r="D159" t="s">
        <v>85</v>
      </c>
    </row>
    <row r="160" spans="1:4" x14ac:dyDescent="0.2">
      <c r="A160" t="s">
        <v>43</v>
      </c>
      <c r="B160">
        <v>2</v>
      </c>
      <c r="C160">
        <v>2022</v>
      </c>
      <c r="D160" t="s">
        <v>85</v>
      </c>
    </row>
    <row r="161" spans="1:4" x14ac:dyDescent="0.2">
      <c r="A161" t="s">
        <v>81</v>
      </c>
      <c r="C161">
        <v>2022</v>
      </c>
      <c r="D161" t="s">
        <v>85</v>
      </c>
    </row>
    <row r="162" spans="1:4" x14ac:dyDescent="0.2">
      <c r="A162" t="s">
        <v>79</v>
      </c>
      <c r="B162">
        <v>12</v>
      </c>
      <c r="C162">
        <v>2022</v>
      </c>
      <c r="D162" t="s">
        <v>85</v>
      </c>
    </row>
    <row r="163" spans="1:4" x14ac:dyDescent="0.2">
      <c r="A163" t="s">
        <v>34</v>
      </c>
      <c r="B163">
        <v>24</v>
      </c>
      <c r="C163">
        <v>2022</v>
      </c>
      <c r="D163" t="s">
        <v>85</v>
      </c>
    </row>
    <row r="164" spans="1:4" x14ac:dyDescent="0.2">
      <c r="A164" t="s">
        <v>38</v>
      </c>
      <c r="B164">
        <v>9</v>
      </c>
      <c r="C164">
        <v>2022</v>
      </c>
      <c r="D164" t="s">
        <v>85</v>
      </c>
    </row>
    <row r="165" spans="1:4" x14ac:dyDescent="0.2">
      <c r="A165" t="s">
        <v>37</v>
      </c>
      <c r="C165">
        <v>2022</v>
      </c>
      <c r="D165" t="s">
        <v>85</v>
      </c>
    </row>
    <row r="166" spans="1:4" x14ac:dyDescent="0.2">
      <c r="A166" t="s">
        <v>80</v>
      </c>
      <c r="B166">
        <v>2</v>
      </c>
      <c r="C166">
        <v>2022</v>
      </c>
      <c r="D166" t="s">
        <v>85</v>
      </c>
    </row>
    <row r="167" spans="1:4" x14ac:dyDescent="0.2">
      <c r="A167" t="s">
        <v>40</v>
      </c>
      <c r="B167" t="s">
        <v>83</v>
      </c>
      <c r="C167">
        <v>2022</v>
      </c>
      <c r="D167" t="s">
        <v>85</v>
      </c>
    </row>
    <row r="168" spans="1:4" x14ac:dyDescent="0.2">
      <c r="A168" t="s">
        <v>41</v>
      </c>
      <c r="B168">
        <v>2</v>
      </c>
      <c r="C168">
        <v>2022</v>
      </c>
      <c r="D168" t="s">
        <v>85</v>
      </c>
    </row>
    <row r="169" spans="1:4" x14ac:dyDescent="0.2">
      <c r="A169" t="s">
        <v>42</v>
      </c>
      <c r="B169">
        <v>4</v>
      </c>
      <c r="C169">
        <v>2022</v>
      </c>
      <c r="D169" t="s">
        <v>85</v>
      </c>
    </row>
    <row r="170" spans="1:4" x14ac:dyDescent="0.2">
      <c r="A170" t="s">
        <v>75</v>
      </c>
      <c r="B170">
        <v>58</v>
      </c>
      <c r="C170">
        <v>2022</v>
      </c>
      <c r="D170" t="s">
        <v>85</v>
      </c>
    </row>
    <row r="171" spans="1:4" x14ac:dyDescent="0.2">
      <c r="A171" t="s">
        <v>33</v>
      </c>
      <c r="B171">
        <v>1</v>
      </c>
      <c r="C171">
        <v>2026</v>
      </c>
      <c r="D171" t="s">
        <v>85</v>
      </c>
    </row>
    <row r="172" spans="1:4" x14ac:dyDescent="0.2">
      <c r="A172" t="s">
        <v>35</v>
      </c>
      <c r="B172" t="s">
        <v>83</v>
      </c>
      <c r="C172">
        <v>2026</v>
      </c>
      <c r="D172" t="s">
        <v>85</v>
      </c>
    </row>
    <row r="173" spans="1:4" x14ac:dyDescent="0.2">
      <c r="A173" t="s">
        <v>43</v>
      </c>
      <c r="B173">
        <v>2</v>
      </c>
      <c r="C173">
        <v>2026</v>
      </c>
      <c r="D173" t="s">
        <v>85</v>
      </c>
    </row>
    <row r="174" spans="1:4" x14ac:dyDescent="0.2">
      <c r="A174" t="s">
        <v>81</v>
      </c>
      <c r="C174">
        <v>2026</v>
      </c>
      <c r="D174" t="s">
        <v>85</v>
      </c>
    </row>
    <row r="175" spans="1:4" x14ac:dyDescent="0.2">
      <c r="A175" t="s">
        <v>79</v>
      </c>
      <c r="B175">
        <v>12</v>
      </c>
      <c r="C175">
        <v>2026</v>
      </c>
      <c r="D175" t="s">
        <v>85</v>
      </c>
    </row>
    <row r="176" spans="1:4" x14ac:dyDescent="0.2">
      <c r="A176" t="s">
        <v>34</v>
      </c>
      <c r="B176">
        <v>28</v>
      </c>
      <c r="C176">
        <v>2026</v>
      </c>
      <c r="D176" t="s">
        <v>85</v>
      </c>
    </row>
    <row r="177" spans="1:4" x14ac:dyDescent="0.2">
      <c r="A177" t="s">
        <v>38</v>
      </c>
      <c r="B177">
        <v>9</v>
      </c>
      <c r="C177">
        <v>2026</v>
      </c>
      <c r="D177" t="s">
        <v>85</v>
      </c>
    </row>
    <row r="178" spans="1:4" x14ac:dyDescent="0.2">
      <c r="A178" t="s">
        <v>37</v>
      </c>
      <c r="C178">
        <v>2026</v>
      </c>
      <c r="D178" t="s">
        <v>85</v>
      </c>
    </row>
    <row r="179" spans="1:4" x14ac:dyDescent="0.2">
      <c r="A179" t="s">
        <v>80</v>
      </c>
      <c r="B179">
        <v>15</v>
      </c>
      <c r="C179">
        <v>2026</v>
      </c>
      <c r="D179" t="s">
        <v>85</v>
      </c>
    </row>
    <row r="180" spans="1:4" x14ac:dyDescent="0.2">
      <c r="A180" t="s">
        <v>40</v>
      </c>
      <c r="B180" t="s">
        <v>83</v>
      </c>
      <c r="C180">
        <v>2026</v>
      </c>
      <c r="D180" t="s">
        <v>85</v>
      </c>
    </row>
    <row r="181" spans="1:4" x14ac:dyDescent="0.2">
      <c r="A181" t="s">
        <v>41</v>
      </c>
      <c r="B181">
        <v>3</v>
      </c>
      <c r="C181">
        <v>2026</v>
      </c>
      <c r="D181" t="s">
        <v>85</v>
      </c>
    </row>
    <row r="182" spans="1:4" x14ac:dyDescent="0.2">
      <c r="A182" t="s">
        <v>42</v>
      </c>
      <c r="B182">
        <v>4</v>
      </c>
      <c r="C182">
        <v>2026</v>
      </c>
      <c r="D182" t="s">
        <v>85</v>
      </c>
    </row>
    <row r="183" spans="1:4" x14ac:dyDescent="0.2">
      <c r="A183" t="s">
        <v>75</v>
      </c>
      <c r="B183">
        <v>74</v>
      </c>
      <c r="C183">
        <v>2026</v>
      </c>
      <c r="D183" t="s">
        <v>85</v>
      </c>
    </row>
    <row r="184" spans="1:4" x14ac:dyDescent="0.2">
      <c r="A184" t="s">
        <v>33</v>
      </c>
      <c r="B184" t="s">
        <v>83</v>
      </c>
      <c r="C184">
        <v>2030</v>
      </c>
      <c r="D184" t="s">
        <v>85</v>
      </c>
    </row>
    <row r="185" spans="1:4" x14ac:dyDescent="0.2">
      <c r="A185" t="s">
        <v>35</v>
      </c>
      <c r="B185" t="s">
        <v>83</v>
      </c>
      <c r="C185">
        <v>2030</v>
      </c>
      <c r="D185" t="s">
        <v>85</v>
      </c>
    </row>
    <row r="186" spans="1:4" x14ac:dyDescent="0.2">
      <c r="A186" t="s">
        <v>43</v>
      </c>
      <c r="B186">
        <v>2</v>
      </c>
      <c r="C186">
        <v>2030</v>
      </c>
      <c r="D186" t="s">
        <v>85</v>
      </c>
    </row>
    <row r="187" spans="1:4" x14ac:dyDescent="0.2">
      <c r="A187" t="s">
        <v>81</v>
      </c>
      <c r="C187">
        <v>2030</v>
      </c>
      <c r="D187" t="s">
        <v>85</v>
      </c>
    </row>
    <row r="188" spans="1:4" x14ac:dyDescent="0.2">
      <c r="A188" t="s">
        <v>79</v>
      </c>
      <c r="B188">
        <v>11</v>
      </c>
      <c r="C188">
        <v>2030</v>
      </c>
      <c r="D188" t="s">
        <v>85</v>
      </c>
    </row>
    <row r="189" spans="1:4" x14ac:dyDescent="0.2">
      <c r="A189" t="s">
        <v>34</v>
      </c>
      <c r="B189">
        <v>30</v>
      </c>
      <c r="C189">
        <v>2030</v>
      </c>
      <c r="D189" t="s">
        <v>85</v>
      </c>
    </row>
    <row r="190" spans="1:4" x14ac:dyDescent="0.2">
      <c r="A190" t="s">
        <v>38</v>
      </c>
      <c r="B190">
        <v>9</v>
      </c>
      <c r="C190">
        <v>2030</v>
      </c>
      <c r="D190" t="s">
        <v>85</v>
      </c>
    </row>
    <row r="191" spans="1:4" x14ac:dyDescent="0.2">
      <c r="A191" t="s">
        <v>37</v>
      </c>
      <c r="C191">
        <v>2030</v>
      </c>
      <c r="D191" t="s">
        <v>85</v>
      </c>
    </row>
    <row r="192" spans="1:4" x14ac:dyDescent="0.2">
      <c r="A192" t="s">
        <v>80</v>
      </c>
      <c r="B192">
        <v>31</v>
      </c>
      <c r="C192">
        <v>2030</v>
      </c>
      <c r="D192" t="s">
        <v>85</v>
      </c>
    </row>
    <row r="193" spans="1:4" x14ac:dyDescent="0.2">
      <c r="A193" t="s">
        <v>40</v>
      </c>
      <c r="B193" t="s">
        <v>83</v>
      </c>
      <c r="C193">
        <v>2030</v>
      </c>
      <c r="D193" t="s">
        <v>85</v>
      </c>
    </row>
    <row r="194" spans="1:4" x14ac:dyDescent="0.2">
      <c r="A194" t="s">
        <v>41</v>
      </c>
      <c r="B194">
        <v>4</v>
      </c>
      <c r="C194">
        <v>2030</v>
      </c>
      <c r="D194" t="s">
        <v>85</v>
      </c>
    </row>
    <row r="195" spans="1:4" x14ac:dyDescent="0.2">
      <c r="A195" t="s">
        <v>42</v>
      </c>
      <c r="B195">
        <v>4</v>
      </c>
      <c r="C195">
        <v>2030</v>
      </c>
      <c r="D195" t="s">
        <v>85</v>
      </c>
    </row>
    <row r="196" spans="1:4" x14ac:dyDescent="0.2">
      <c r="A196" t="s">
        <v>75</v>
      </c>
      <c r="B196">
        <v>92</v>
      </c>
      <c r="C196">
        <v>2030</v>
      </c>
      <c r="D196" t="s">
        <v>85</v>
      </c>
    </row>
    <row r="197" spans="1:4" x14ac:dyDescent="0.2">
      <c r="A197" t="s">
        <v>33</v>
      </c>
      <c r="C197">
        <v>2016</v>
      </c>
      <c r="D197" t="s">
        <v>86</v>
      </c>
    </row>
    <row r="198" spans="1:4" x14ac:dyDescent="0.2">
      <c r="A198" t="s">
        <v>35</v>
      </c>
      <c r="C198">
        <v>2016</v>
      </c>
      <c r="D198" t="s">
        <v>86</v>
      </c>
    </row>
    <row r="199" spans="1:4" x14ac:dyDescent="0.2">
      <c r="A199" t="s">
        <v>43</v>
      </c>
      <c r="B199" t="s">
        <v>83</v>
      </c>
      <c r="C199">
        <v>2016</v>
      </c>
      <c r="D199" t="s">
        <v>86</v>
      </c>
    </row>
    <row r="200" spans="1:4" x14ac:dyDescent="0.2">
      <c r="A200" t="s">
        <v>81</v>
      </c>
      <c r="B200">
        <v>1</v>
      </c>
      <c r="C200">
        <v>2016</v>
      </c>
      <c r="D200" t="s">
        <v>86</v>
      </c>
    </row>
    <row r="201" spans="1:4" x14ac:dyDescent="0.2">
      <c r="A201" t="s">
        <v>79</v>
      </c>
      <c r="C201">
        <v>2016</v>
      </c>
      <c r="D201" t="s">
        <v>86</v>
      </c>
    </row>
    <row r="202" spans="1:4" x14ac:dyDescent="0.2">
      <c r="A202" t="s">
        <v>34</v>
      </c>
      <c r="C202">
        <v>2016</v>
      </c>
      <c r="D202" t="s">
        <v>86</v>
      </c>
    </row>
    <row r="203" spans="1:4" x14ac:dyDescent="0.2">
      <c r="A203" t="s">
        <v>38</v>
      </c>
      <c r="B203">
        <v>4</v>
      </c>
      <c r="C203">
        <v>2016</v>
      </c>
      <c r="D203" t="s">
        <v>86</v>
      </c>
    </row>
    <row r="204" spans="1:4" x14ac:dyDescent="0.2">
      <c r="A204" t="s">
        <v>37</v>
      </c>
      <c r="C204">
        <v>2016</v>
      </c>
      <c r="D204" t="s">
        <v>86</v>
      </c>
    </row>
    <row r="205" spans="1:4" x14ac:dyDescent="0.2">
      <c r="A205" t="s">
        <v>80</v>
      </c>
      <c r="C205">
        <v>2016</v>
      </c>
      <c r="D205" t="s">
        <v>86</v>
      </c>
    </row>
    <row r="206" spans="1:4" x14ac:dyDescent="0.2">
      <c r="A206" t="s">
        <v>40</v>
      </c>
      <c r="B206">
        <v>1</v>
      </c>
      <c r="C206">
        <v>2016</v>
      </c>
      <c r="D206" t="s">
        <v>86</v>
      </c>
    </row>
    <row r="207" spans="1:4" x14ac:dyDescent="0.2">
      <c r="A207" t="s">
        <v>41</v>
      </c>
      <c r="C207">
        <v>2016</v>
      </c>
      <c r="D207" t="s">
        <v>86</v>
      </c>
    </row>
    <row r="208" spans="1:4" x14ac:dyDescent="0.2">
      <c r="A208" t="s">
        <v>42</v>
      </c>
      <c r="C208">
        <v>2016</v>
      </c>
      <c r="D208" t="s">
        <v>86</v>
      </c>
    </row>
    <row r="209" spans="1:4" x14ac:dyDescent="0.2">
      <c r="A209" t="s">
        <v>75</v>
      </c>
      <c r="B209">
        <v>6</v>
      </c>
      <c r="C209">
        <v>2016</v>
      </c>
      <c r="D209" t="s">
        <v>86</v>
      </c>
    </row>
    <row r="210" spans="1:4" x14ac:dyDescent="0.2">
      <c r="A210" t="s">
        <v>33</v>
      </c>
      <c r="C210">
        <v>2020</v>
      </c>
      <c r="D210" t="s">
        <v>86</v>
      </c>
    </row>
    <row r="211" spans="1:4" x14ac:dyDescent="0.2">
      <c r="A211" t="s">
        <v>35</v>
      </c>
      <c r="C211">
        <v>2020</v>
      </c>
      <c r="D211" t="s">
        <v>86</v>
      </c>
    </row>
    <row r="212" spans="1:4" x14ac:dyDescent="0.2">
      <c r="A212" t="s">
        <v>43</v>
      </c>
      <c r="B212" t="s">
        <v>83</v>
      </c>
      <c r="C212">
        <v>2020</v>
      </c>
      <c r="D212" t="s">
        <v>86</v>
      </c>
    </row>
    <row r="213" spans="1:4" x14ac:dyDescent="0.2">
      <c r="A213" t="s">
        <v>81</v>
      </c>
      <c r="B213">
        <v>1</v>
      </c>
      <c r="C213">
        <v>2020</v>
      </c>
      <c r="D213" t="s">
        <v>86</v>
      </c>
    </row>
    <row r="214" spans="1:4" x14ac:dyDescent="0.2">
      <c r="A214" t="s">
        <v>79</v>
      </c>
      <c r="C214">
        <v>2020</v>
      </c>
      <c r="D214" t="s">
        <v>86</v>
      </c>
    </row>
    <row r="215" spans="1:4" x14ac:dyDescent="0.2">
      <c r="A215" t="s">
        <v>34</v>
      </c>
      <c r="C215">
        <v>2020</v>
      </c>
      <c r="D215" t="s">
        <v>86</v>
      </c>
    </row>
    <row r="216" spans="1:4" x14ac:dyDescent="0.2">
      <c r="A216" t="s">
        <v>38</v>
      </c>
      <c r="B216">
        <v>5</v>
      </c>
      <c r="C216">
        <v>2020</v>
      </c>
      <c r="D216" t="s">
        <v>86</v>
      </c>
    </row>
    <row r="217" spans="1:4" x14ac:dyDescent="0.2">
      <c r="A217" t="s">
        <v>37</v>
      </c>
      <c r="C217">
        <v>2020</v>
      </c>
      <c r="D217" t="s">
        <v>86</v>
      </c>
    </row>
    <row r="218" spans="1:4" x14ac:dyDescent="0.2">
      <c r="A218" t="s">
        <v>80</v>
      </c>
      <c r="C218">
        <v>2020</v>
      </c>
      <c r="D218" t="s">
        <v>86</v>
      </c>
    </row>
    <row r="219" spans="1:4" x14ac:dyDescent="0.2">
      <c r="A219" t="s">
        <v>40</v>
      </c>
      <c r="B219">
        <v>1</v>
      </c>
      <c r="C219">
        <v>2020</v>
      </c>
      <c r="D219" t="s">
        <v>86</v>
      </c>
    </row>
    <row r="220" spans="1:4" x14ac:dyDescent="0.2">
      <c r="A220" t="s">
        <v>41</v>
      </c>
      <c r="C220">
        <v>2020</v>
      </c>
      <c r="D220" t="s">
        <v>86</v>
      </c>
    </row>
    <row r="221" spans="1:4" x14ac:dyDescent="0.2">
      <c r="A221" t="s">
        <v>42</v>
      </c>
      <c r="C221">
        <v>2020</v>
      </c>
      <c r="D221" t="s">
        <v>86</v>
      </c>
    </row>
    <row r="222" spans="1:4" x14ac:dyDescent="0.2">
      <c r="A222" t="s">
        <v>75</v>
      </c>
      <c r="B222">
        <v>8</v>
      </c>
      <c r="C222">
        <v>2020</v>
      </c>
      <c r="D222" t="s">
        <v>86</v>
      </c>
    </row>
    <row r="223" spans="1:4" x14ac:dyDescent="0.2">
      <c r="A223" t="s">
        <v>33</v>
      </c>
      <c r="C223">
        <v>2022</v>
      </c>
      <c r="D223" t="s">
        <v>86</v>
      </c>
    </row>
    <row r="224" spans="1:4" x14ac:dyDescent="0.2">
      <c r="A224" t="s">
        <v>35</v>
      </c>
      <c r="C224">
        <v>2022</v>
      </c>
      <c r="D224" t="s">
        <v>86</v>
      </c>
    </row>
    <row r="225" spans="1:4" x14ac:dyDescent="0.2">
      <c r="A225" t="s">
        <v>43</v>
      </c>
      <c r="C225">
        <v>2022</v>
      </c>
      <c r="D225" t="s">
        <v>86</v>
      </c>
    </row>
    <row r="226" spans="1:4" x14ac:dyDescent="0.2">
      <c r="A226" t="s">
        <v>81</v>
      </c>
      <c r="B226" t="s">
        <v>83</v>
      </c>
      <c r="C226">
        <v>2022</v>
      </c>
      <c r="D226" t="s">
        <v>86</v>
      </c>
    </row>
    <row r="227" spans="1:4" x14ac:dyDescent="0.2">
      <c r="A227" t="s">
        <v>79</v>
      </c>
      <c r="C227">
        <v>2022</v>
      </c>
      <c r="D227" t="s">
        <v>86</v>
      </c>
    </row>
    <row r="228" spans="1:4" x14ac:dyDescent="0.2">
      <c r="A228" t="s">
        <v>34</v>
      </c>
      <c r="C228">
        <v>2022</v>
      </c>
      <c r="D228" t="s">
        <v>86</v>
      </c>
    </row>
    <row r="229" spans="1:4" x14ac:dyDescent="0.2">
      <c r="A229" t="s">
        <v>38</v>
      </c>
      <c r="B229">
        <v>8</v>
      </c>
      <c r="C229">
        <v>2022</v>
      </c>
      <c r="D229" t="s">
        <v>86</v>
      </c>
    </row>
    <row r="230" spans="1:4" x14ac:dyDescent="0.2">
      <c r="A230" t="s">
        <v>37</v>
      </c>
      <c r="C230">
        <v>2022</v>
      </c>
      <c r="D230" t="s">
        <v>86</v>
      </c>
    </row>
    <row r="231" spans="1:4" x14ac:dyDescent="0.2">
      <c r="A231" t="s">
        <v>80</v>
      </c>
      <c r="C231">
        <v>2022</v>
      </c>
      <c r="D231" t="s">
        <v>86</v>
      </c>
    </row>
    <row r="232" spans="1:4" x14ac:dyDescent="0.2">
      <c r="A232" t="s">
        <v>40</v>
      </c>
      <c r="B232">
        <v>1</v>
      </c>
      <c r="C232">
        <v>2022</v>
      </c>
      <c r="D232" t="s">
        <v>86</v>
      </c>
    </row>
    <row r="233" spans="1:4" x14ac:dyDescent="0.2">
      <c r="A233" t="s">
        <v>41</v>
      </c>
      <c r="C233">
        <v>2022</v>
      </c>
      <c r="D233" t="s">
        <v>86</v>
      </c>
    </row>
    <row r="234" spans="1:4" x14ac:dyDescent="0.2">
      <c r="A234" t="s">
        <v>42</v>
      </c>
      <c r="C234">
        <v>2022</v>
      </c>
      <c r="D234" t="s">
        <v>86</v>
      </c>
    </row>
    <row r="235" spans="1:4" x14ac:dyDescent="0.2">
      <c r="A235" t="s">
        <v>75</v>
      </c>
      <c r="B235">
        <v>10</v>
      </c>
      <c r="C235">
        <v>2022</v>
      </c>
      <c r="D235" t="s">
        <v>86</v>
      </c>
    </row>
    <row r="236" spans="1:4" x14ac:dyDescent="0.2">
      <c r="A236" t="s">
        <v>33</v>
      </c>
      <c r="C236">
        <v>2026</v>
      </c>
      <c r="D236" t="s">
        <v>86</v>
      </c>
    </row>
    <row r="237" spans="1:4" x14ac:dyDescent="0.2">
      <c r="A237" t="s">
        <v>35</v>
      </c>
      <c r="C237">
        <v>2026</v>
      </c>
      <c r="D237" t="s">
        <v>86</v>
      </c>
    </row>
    <row r="238" spans="1:4" x14ac:dyDescent="0.2">
      <c r="A238" t="s">
        <v>43</v>
      </c>
      <c r="C238">
        <v>2026</v>
      </c>
      <c r="D238" t="s">
        <v>86</v>
      </c>
    </row>
    <row r="239" spans="1:4" x14ac:dyDescent="0.2">
      <c r="A239" t="s">
        <v>81</v>
      </c>
      <c r="B239" t="s">
        <v>83</v>
      </c>
      <c r="C239">
        <v>2026</v>
      </c>
      <c r="D239" t="s">
        <v>86</v>
      </c>
    </row>
    <row r="240" spans="1:4" x14ac:dyDescent="0.2">
      <c r="A240" t="s">
        <v>79</v>
      </c>
      <c r="C240">
        <v>2026</v>
      </c>
      <c r="D240" t="s">
        <v>86</v>
      </c>
    </row>
    <row r="241" spans="1:4" x14ac:dyDescent="0.2">
      <c r="A241" t="s">
        <v>34</v>
      </c>
      <c r="C241">
        <v>2026</v>
      </c>
      <c r="D241" t="s">
        <v>86</v>
      </c>
    </row>
    <row r="242" spans="1:4" x14ac:dyDescent="0.2">
      <c r="A242" t="s">
        <v>38</v>
      </c>
      <c r="B242">
        <v>9</v>
      </c>
      <c r="C242">
        <v>2026</v>
      </c>
      <c r="D242" t="s">
        <v>86</v>
      </c>
    </row>
    <row r="243" spans="1:4" x14ac:dyDescent="0.2">
      <c r="A243" t="s">
        <v>37</v>
      </c>
      <c r="C243">
        <v>2026</v>
      </c>
      <c r="D243" t="s">
        <v>86</v>
      </c>
    </row>
    <row r="244" spans="1:4" x14ac:dyDescent="0.2">
      <c r="A244" t="s">
        <v>80</v>
      </c>
      <c r="C244">
        <v>2026</v>
      </c>
      <c r="D244" t="s">
        <v>86</v>
      </c>
    </row>
    <row r="245" spans="1:4" x14ac:dyDescent="0.2">
      <c r="A245" t="s">
        <v>40</v>
      </c>
      <c r="B245">
        <v>1</v>
      </c>
      <c r="C245">
        <v>2026</v>
      </c>
      <c r="D245" t="s">
        <v>86</v>
      </c>
    </row>
    <row r="246" spans="1:4" x14ac:dyDescent="0.2">
      <c r="A246" t="s">
        <v>41</v>
      </c>
      <c r="C246">
        <v>2026</v>
      </c>
      <c r="D246" t="s">
        <v>86</v>
      </c>
    </row>
    <row r="247" spans="1:4" x14ac:dyDescent="0.2">
      <c r="A247" t="s">
        <v>42</v>
      </c>
      <c r="C247">
        <v>2026</v>
      </c>
      <c r="D247" t="s">
        <v>86</v>
      </c>
    </row>
    <row r="248" spans="1:4" x14ac:dyDescent="0.2">
      <c r="A248" t="s">
        <v>75</v>
      </c>
      <c r="B248">
        <v>11</v>
      </c>
      <c r="C248">
        <v>2026</v>
      </c>
      <c r="D248" t="s">
        <v>86</v>
      </c>
    </row>
    <row r="249" spans="1:4" x14ac:dyDescent="0.2">
      <c r="A249" t="s">
        <v>33</v>
      </c>
      <c r="C249">
        <v>2030</v>
      </c>
      <c r="D249" t="s">
        <v>86</v>
      </c>
    </row>
    <row r="250" spans="1:4" x14ac:dyDescent="0.2">
      <c r="A250" t="s">
        <v>35</v>
      </c>
      <c r="C250">
        <v>2030</v>
      </c>
      <c r="D250" t="s">
        <v>86</v>
      </c>
    </row>
    <row r="251" spans="1:4" x14ac:dyDescent="0.2">
      <c r="A251" t="s">
        <v>43</v>
      </c>
      <c r="C251">
        <v>2030</v>
      </c>
      <c r="D251" t="s">
        <v>86</v>
      </c>
    </row>
    <row r="252" spans="1:4" x14ac:dyDescent="0.2">
      <c r="A252" t="s">
        <v>81</v>
      </c>
      <c r="B252" t="s">
        <v>83</v>
      </c>
      <c r="C252">
        <v>2030</v>
      </c>
      <c r="D252" t="s">
        <v>86</v>
      </c>
    </row>
    <row r="253" spans="1:4" x14ac:dyDescent="0.2">
      <c r="A253" t="s">
        <v>79</v>
      </c>
      <c r="C253">
        <v>2030</v>
      </c>
      <c r="D253" t="s">
        <v>86</v>
      </c>
    </row>
    <row r="254" spans="1:4" x14ac:dyDescent="0.2">
      <c r="A254" t="s">
        <v>34</v>
      </c>
      <c r="C254">
        <v>2030</v>
      </c>
      <c r="D254" t="s">
        <v>86</v>
      </c>
    </row>
    <row r="255" spans="1:4" x14ac:dyDescent="0.2">
      <c r="A255" t="s">
        <v>38</v>
      </c>
      <c r="B255">
        <v>11</v>
      </c>
      <c r="C255">
        <v>2030</v>
      </c>
      <c r="D255" t="s">
        <v>86</v>
      </c>
    </row>
    <row r="256" spans="1:4" x14ac:dyDescent="0.2">
      <c r="A256" t="s">
        <v>37</v>
      </c>
      <c r="C256">
        <v>2030</v>
      </c>
      <c r="D256" t="s">
        <v>86</v>
      </c>
    </row>
    <row r="257" spans="1:4" x14ac:dyDescent="0.2">
      <c r="A257" t="s">
        <v>80</v>
      </c>
      <c r="C257">
        <v>2030</v>
      </c>
      <c r="D257" t="s">
        <v>86</v>
      </c>
    </row>
    <row r="258" spans="1:4" x14ac:dyDescent="0.2">
      <c r="A258" t="s">
        <v>40</v>
      </c>
      <c r="B258">
        <v>1</v>
      </c>
      <c r="C258">
        <v>2030</v>
      </c>
      <c r="D258" t="s">
        <v>86</v>
      </c>
    </row>
    <row r="259" spans="1:4" x14ac:dyDescent="0.2">
      <c r="A259" t="s">
        <v>41</v>
      </c>
      <c r="C259">
        <v>2030</v>
      </c>
      <c r="D259" t="s">
        <v>86</v>
      </c>
    </row>
    <row r="260" spans="1:4" x14ac:dyDescent="0.2">
      <c r="A260" t="s">
        <v>42</v>
      </c>
      <c r="C260">
        <v>2030</v>
      </c>
      <c r="D260" t="s">
        <v>86</v>
      </c>
    </row>
    <row r="261" spans="1:4" x14ac:dyDescent="0.2">
      <c r="A261" t="s">
        <v>75</v>
      </c>
      <c r="B261">
        <v>13</v>
      </c>
      <c r="C261">
        <v>2030</v>
      </c>
      <c r="D261" t="s">
        <v>86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22"/>
  <dimension ref="A1:D57"/>
  <sheetViews>
    <sheetView workbookViewId="0">
      <selection activeCell="C58" sqref="C58"/>
    </sheetView>
  </sheetViews>
  <sheetFormatPr baseColWidth="10" defaultRowHeight="16" x14ac:dyDescent="0.2"/>
  <cols>
    <col min="2" max="2" width="28.33203125" customWidth="1"/>
    <col min="3" max="3" width="17.33203125" customWidth="1"/>
  </cols>
  <sheetData>
    <row r="1" spans="1:4" x14ac:dyDescent="0.2">
      <c r="A1" t="s">
        <v>44</v>
      </c>
      <c r="B1" t="s">
        <v>118</v>
      </c>
      <c r="C1" t="s">
        <v>77</v>
      </c>
      <c r="D1" t="s">
        <v>119</v>
      </c>
    </row>
    <row r="2" spans="1:4" x14ac:dyDescent="0.2">
      <c r="A2">
        <v>2016</v>
      </c>
      <c r="B2" t="s">
        <v>120</v>
      </c>
      <c r="C2">
        <v>110</v>
      </c>
      <c r="D2">
        <v>2020</v>
      </c>
    </row>
    <row r="3" spans="1:4" x14ac:dyDescent="0.2">
      <c r="A3">
        <v>2016</v>
      </c>
      <c r="B3" t="s">
        <v>121</v>
      </c>
      <c r="C3">
        <v>83</v>
      </c>
      <c r="D3">
        <v>2020</v>
      </c>
    </row>
    <row r="4" spans="1:4" x14ac:dyDescent="0.2">
      <c r="A4">
        <v>2016</v>
      </c>
      <c r="B4" t="s">
        <v>32</v>
      </c>
      <c r="C4">
        <v>65</v>
      </c>
      <c r="D4">
        <v>2020</v>
      </c>
    </row>
    <row r="5" spans="1:4" x14ac:dyDescent="0.2">
      <c r="A5">
        <v>2016</v>
      </c>
      <c r="B5" t="s">
        <v>122</v>
      </c>
      <c r="C5">
        <v>32</v>
      </c>
      <c r="D5">
        <v>2020</v>
      </c>
    </row>
    <row r="6" spans="1:4" x14ac:dyDescent="0.2">
      <c r="A6">
        <v>2016</v>
      </c>
      <c r="B6" t="s">
        <v>123</v>
      </c>
      <c r="C6">
        <v>6</v>
      </c>
      <c r="D6">
        <v>2020</v>
      </c>
    </row>
    <row r="7" spans="1:4" x14ac:dyDescent="0.2">
      <c r="A7">
        <v>2016</v>
      </c>
      <c r="B7" t="s">
        <v>124</v>
      </c>
      <c r="C7">
        <v>21</v>
      </c>
      <c r="D7">
        <v>2020</v>
      </c>
    </row>
    <row r="8" spans="1:4" x14ac:dyDescent="0.2">
      <c r="A8">
        <v>2016</v>
      </c>
      <c r="B8" t="s">
        <v>125</v>
      </c>
      <c r="C8">
        <v>8</v>
      </c>
      <c r="D8">
        <v>2020</v>
      </c>
    </row>
    <row r="9" spans="1:4" x14ac:dyDescent="0.2">
      <c r="A9">
        <v>2016</v>
      </c>
      <c r="B9" t="s">
        <v>126</v>
      </c>
      <c r="C9">
        <v>8</v>
      </c>
      <c r="D9">
        <v>2020</v>
      </c>
    </row>
    <row r="10" spans="1:4" x14ac:dyDescent="0.2">
      <c r="A10">
        <v>2016</v>
      </c>
      <c r="B10" t="s">
        <v>37</v>
      </c>
      <c r="C10">
        <v>41</v>
      </c>
      <c r="D10">
        <v>2020</v>
      </c>
    </row>
    <row r="11" spans="1:4" x14ac:dyDescent="0.2">
      <c r="A11">
        <v>2016</v>
      </c>
      <c r="B11" t="s">
        <v>97</v>
      </c>
      <c r="C11">
        <v>7</v>
      </c>
      <c r="D11">
        <v>2020</v>
      </c>
    </row>
    <row r="12" spans="1:4" x14ac:dyDescent="0.2">
      <c r="A12">
        <v>2016</v>
      </c>
      <c r="B12" t="s">
        <v>127</v>
      </c>
      <c r="C12">
        <v>11</v>
      </c>
      <c r="D12">
        <v>2020</v>
      </c>
    </row>
    <row r="13" spans="1:4" x14ac:dyDescent="0.2">
      <c r="A13">
        <v>2016</v>
      </c>
      <c r="B13" t="s">
        <v>128</v>
      </c>
      <c r="C13">
        <v>14</v>
      </c>
      <c r="D13">
        <v>2020</v>
      </c>
    </row>
    <row r="14" spans="1:4" x14ac:dyDescent="0.2">
      <c r="A14">
        <v>2016</v>
      </c>
      <c r="B14" t="s">
        <v>115</v>
      </c>
      <c r="C14">
        <v>5</v>
      </c>
      <c r="D14">
        <v>2020</v>
      </c>
    </row>
    <row r="15" spans="1:4" x14ac:dyDescent="0.2">
      <c r="A15">
        <v>2016</v>
      </c>
      <c r="B15" t="s">
        <v>75</v>
      </c>
      <c r="C15">
        <v>411</v>
      </c>
      <c r="D15">
        <v>2020</v>
      </c>
    </row>
    <row r="16" spans="1:4" x14ac:dyDescent="0.2">
      <c r="A16">
        <v>2020</v>
      </c>
      <c r="B16" t="s">
        <v>120</v>
      </c>
      <c r="C16">
        <v>104</v>
      </c>
      <c r="D16">
        <v>2020</v>
      </c>
    </row>
    <row r="17" spans="1:4" x14ac:dyDescent="0.2">
      <c r="A17">
        <v>2020</v>
      </c>
      <c r="B17" t="s">
        <v>121</v>
      </c>
      <c r="C17">
        <v>85</v>
      </c>
      <c r="D17">
        <v>2020</v>
      </c>
    </row>
    <row r="18" spans="1:4" x14ac:dyDescent="0.2">
      <c r="A18">
        <v>2020</v>
      </c>
      <c r="B18" t="s">
        <v>32</v>
      </c>
      <c r="C18">
        <v>72</v>
      </c>
      <c r="D18">
        <v>2020</v>
      </c>
    </row>
    <row r="19" spans="1:4" x14ac:dyDescent="0.2">
      <c r="A19">
        <v>2020</v>
      </c>
      <c r="B19" t="s">
        <v>122</v>
      </c>
      <c r="C19">
        <v>30</v>
      </c>
      <c r="D19">
        <v>2020</v>
      </c>
    </row>
    <row r="20" spans="1:4" x14ac:dyDescent="0.2">
      <c r="A20">
        <v>2020</v>
      </c>
      <c r="B20" t="s">
        <v>123</v>
      </c>
      <c r="C20">
        <v>6</v>
      </c>
      <c r="D20">
        <v>2020</v>
      </c>
    </row>
    <row r="21" spans="1:4" x14ac:dyDescent="0.2">
      <c r="A21">
        <v>2020</v>
      </c>
      <c r="B21" t="s">
        <v>124</v>
      </c>
      <c r="C21">
        <v>25</v>
      </c>
      <c r="D21">
        <v>2020</v>
      </c>
    </row>
    <row r="22" spans="1:4" x14ac:dyDescent="0.2">
      <c r="A22">
        <v>2020</v>
      </c>
      <c r="B22" t="s">
        <v>125</v>
      </c>
      <c r="C22">
        <v>8</v>
      </c>
      <c r="D22">
        <v>2020</v>
      </c>
    </row>
    <row r="23" spans="1:4" x14ac:dyDescent="0.2">
      <c r="A23">
        <v>2020</v>
      </c>
      <c r="B23" t="s">
        <v>126</v>
      </c>
      <c r="C23">
        <v>8</v>
      </c>
      <c r="D23">
        <v>2020</v>
      </c>
    </row>
    <row r="24" spans="1:4" x14ac:dyDescent="0.2">
      <c r="A24">
        <v>2020</v>
      </c>
      <c r="B24" t="s">
        <v>37</v>
      </c>
      <c r="C24">
        <v>59</v>
      </c>
      <c r="D24">
        <v>2020</v>
      </c>
    </row>
    <row r="25" spans="1:4" x14ac:dyDescent="0.2">
      <c r="A25">
        <v>2020</v>
      </c>
      <c r="B25" t="s">
        <v>97</v>
      </c>
      <c r="C25">
        <v>9</v>
      </c>
      <c r="D25">
        <v>2020</v>
      </c>
    </row>
    <row r="26" spans="1:4" x14ac:dyDescent="0.2">
      <c r="A26">
        <v>2020</v>
      </c>
      <c r="B26" t="s">
        <v>127</v>
      </c>
      <c r="C26">
        <v>20</v>
      </c>
      <c r="D26">
        <v>2020</v>
      </c>
    </row>
    <row r="27" spans="1:4" x14ac:dyDescent="0.2">
      <c r="A27">
        <v>2020</v>
      </c>
      <c r="B27" t="s">
        <v>128</v>
      </c>
      <c r="C27">
        <v>28</v>
      </c>
      <c r="D27">
        <v>2020</v>
      </c>
    </row>
    <row r="28" spans="1:4" x14ac:dyDescent="0.2">
      <c r="A28">
        <v>2020</v>
      </c>
      <c r="B28" t="s">
        <v>115</v>
      </c>
      <c r="C28">
        <v>5</v>
      </c>
      <c r="D28">
        <v>2020</v>
      </c>
    </row>
    <row r="29" spans="1:4" x14ac:dyDescent="0.2">
      <c r="A29">
        <v>2020</v>
      </c>
      <c r="B29" t="s">
        <v>75</v>
      </c>
      <c r="C29">
        <v>459</v>
      </c>
      <c r="D29">
        <v>2020</v>
      </c>
    </row>
    <row r="30" spans="1:4" x14ac:dyDescent="0.2">
      <c r="A30">
        <v>2022</v>
      </c>
      <c r="B30" t="s">
        <v>120</v>
      </c>
      <c r="C30">
        <v>103</v>
      </c>
      <c r="D30">
        <v>2020</v>
      </c>
    </row>
    <row r="31" spans="1:4" x14ac:dyDescent="0.2">
      <c r="A31">
        <v>2022</v>
      </c>
      <c r="B31" t="s">
        <v>121</v>
      </c>
      <c r="C31">
        <v>86</v>
      </c>
      <c r="D31">
        <v>2020</v>
      </c>
    </row>
    <row r="32" spans="1:4" x14ac:dyDescent="0.2">
      <c r="A32">
        <v>2022</v>
      </c>
      <c r="B32" t="s">
        <v>32</v>
      </c>
      <c r="C32">
        <v>72</v>
      </c>
      <c r="D32">
        <v>2020</v>
      </c>
    </row>
    <row r="33" spans="1:4" x14ac:dyDescent="0.2">
      <c r="A33">
        <v>2022</v>
      </c>
      <c r="B33" t="s">
        <v>122</v>
      </c>
      <c r="C33">
        <v>30</v>
      </c>
      <c r="D33">
        <v>2020</v>
      </c>
    </row>
    <row r="34" spans="1:4" x14ac:dyDescent="0.2">
      <c r="A34">
        <v>2022</v>
      </c>
      <c r="B34" t="s">
        <v>123</v>
      </c>
      <c r="C34">
        <v>6</v>
      </c>
      <c r="D34">
        <v>2020</v>
      </c>
    </row>
    <row r="35" spans="1:4" x14ac:dyDescent="0.2">
      <c r="A35">
        <v>2022</v>
      </c>
      <c r="B35" t="s">
        <v>124</v>
      </c>
      <c r="C35">
        <v>27</v>
      </c>
      <c r="D35">
        <v>2020</v>
      </c>
    </row>
    <row r="36" spans="1:4" x14ac:dyDescent="0.2">
      <c r="A36">
        <v>2022</v>
      </c>
      <c r="B36" t="s">
        <v>125</v>
      </c>
      <c r="C36">
        <v>8</v>
      </c>
      <c r="D36">
        <v>2020</v>
      </c>
    </row>
    <row r="37" spans="1:4" x14ac:dyDescent="0.2">
      <c r="A37">
        <v>2022</v>
      </c>
      <c r="B37" t="s">
        <v>126</v>
      </c>
      <c r="C37">
        <v>8</v>
      </c>
      <c r="D37">
        <v>2020</v>
      </c>
    </row>
    <row r="38" spans="1:4" x14ac:dyDescent="0.2">
      <c r="A38">
        <v>2022</v>
      </c>
      <c r="B38" t="s">
        <v>37</v>
      </c>
      <c r="C38">
        <v>62</v>
      </c>
      <c r="D38">
        <v>2020</v>
      </c>
    </row>
    <row r="39" spans="1:4" x14ac:dyDescent="0.2">
      <c r="A39">
        <v>2022</v>
      </c>
      <c r="B39" t="s">
        <v>97</v>
      </c>
      <c r="C39">
        <v>11</v>
      </c>
      <c r="D39">
        <v>2020</v>
      </c>
    </row>
    <row r="40" spans="1:4" x14ac:dyDescent="0.2">
      <c r="A40">
        <v>2022</v>
      </c>
      <c r="B40" t="s">
        <v>127</v>
      </c>
      <c r="C40">
        <v>23</v>
      </c>
      <c r="D40">
        <v>2020</v>
      </c>
    </row>
    <row r="41" spans="1:4" x14ac:dyDescent="0.2">
      <c r="A41">
        <v>2022</v>
      </c>
      <c r="B41" t="s">
        <v>128</v>
      </c>
      <c r="C41">
        <v>31</v>
      </c>
      <c r="D41">
        <v>2020</v>
      </c>
    </row>
    <row r="42" spans="1:4" x14ac:dyDescent="0.2">
      <c r="A42">
        <v>2022</v>
      </c>
      <c r="B42" t="s">
        <v>115</v>
      </c>
      <c r="C42">
        <v>5</v>
      </c>
      <c r="D42">
        <v>2020</v>
      </c>
    </row>
    <row r="43" spans="1:4" x14ac:dyDescent="0.2">
      <c r="A43">
        <v>2022</v>
      </c>
      <c r="B43" t="s">
        <v>75</v>
      </c>
      <c r="C43">
        <v>471</v>
      </c>
      <c r="D43">
        <v>2020</v>
      </c>
    </row>
    <row r="44" spans="1:4" x14ac:dyDescent="0.2">
      <c r="A44">
        <v>2026</v>
      </c>
      <c r="B44" t="s">
        <v>120</v>
      </c>
      <c r="C44">
        <v>102</v>
      </c>
      <c r="D44">
        <v>2020</v>
      </c>
    </row>
    <row r="45" spans="1:4" x14ac:dyDescent="0.2">
      <c r="A45">
        <v>2026</v>
      </c>
      <c r="B45" t="s">
        <v>121</v>
      </c>
      <c r="C45">
        <v>86</v>
      </c>
      <c r="D45">
        <v>2020</v>
      </c>
    </row>
    <row r="46" spans="1:4" x14ac:dyDescent="0.2">
      <c r="A46">
        <v>2026</v>
      </c>
      <c r="B46" t="s">
        <v>32</v>
      </c>
      <c r="C46">
        <v>73</v>
      </c>
      <c r="D46">
        <v>2020</v>
      </c>
    </row>
    <row r="47" spans="1:4" x14ac:dyDescent="0.2">
      <c r="A47">
        <v>2026</v>
      </c>
      <c r="B47" t="s">
        <v>122</v>
      </c>
      <c r="C47">
        <v>29</v>
      </c>
      <c r="D47">
        <v>2020</v>
      </c>
    </row>
    <row r="48" spans="1:4" x14ac:dyDescent="0.2">
      <c r="A48">
        <v>2026</v>
      </c>
      <c r="B48" t="s">
        <v>123</v>
      </c>
      <c r="C48">
        <v>6</v>
      </c>
      <c r="D48">
        <v>2020</v>
      </c>
    </row>
    <row r="49" spans="1:4" x14ac:dyDescent="0.2">
      <c r="A49">
        <v>2026</v>
      </c>
      <c r="B49" t="s">
        <v>124</v>
      </c>
      <c r="C49">
        <v>37</v>
      </c>
      <c r="D49">
        <v>2020</v>
      </c>
    </row>
    <row r="50" spans="1:4" x14ac:dyDescent="0.2">
      <c r="A50">
        <v>2026</v>
      </c>
      <c r="B50" t="s">
        <v>125</v>
      </c>
      <c r="C50">
        <v>8</v>
      </c>
      <c r="D50">
        <v>2020</v>
      </c>
    </row>
    <row r="51" spans="1:4" x14ac:dyDescent="0.2">
      <c r="A51">
        <v>2026</v>
      </c>
      <c r="B51" t="s">
        <v>126</v>
      </c>
      <c r="C51">
        <v>8</v>
      </c>
      <c r="D51">
        <v>2020</v>
      </c>
    </row>
    <row r="52" spans="1:4" x14ac:dyDescent="0.2">
      <c r="A52">
        <v>2026</v>
      </c>
      <c r="B52" t="s">
        <v>37</v>
      </c>
      <c r="C52">
        <v>73</v>
      </c>
      <c r="D52">
        <v>2020</v>
      </c>
    </row>
    <row r="53" spans="1:4" x14ac:dyDescent="0.2">
      <c r="A53">
        <v>2026</v>
      </c>
      <c r="B53" t="s">
        <v>97</v>
      </c>
      <c r="C53">
        <v>13</v>
      </c>
      <c r="D53">
        <v>2020</v>
      </c>
    </row>
    <row r="54" spans="1:4" x14ac:dyDescent="0.2">
      <c r="A54">
        <v>2026</v>
      </c>
      <c r="B54" t="s">
        <v>127</v>
      </c>
      <c r="C54">
        <v>33</v>
      </c>
      <c r="D54">
        <v>2020</v>
      </c>
    </row>
    <row r="55" spans="1:4" x14ac:dyDescent="0.2">
      <c r="A55">
        <v>2026</v>
      </c>
      <c r="B55" t="s">
        <v>128</v>
      </c>
      <c r="C55">
        <v>41</v>
      </c>
      <c r="D55">
        <v>2020</v>
      </c>
    </row>
    <row r="56" spans="1:4" x14ac:dyDescent="0.2">
      <c r="A56">
        <v>2026</v>
      </c>
      <c r="B56" t="s">
        <v>115</v>
      </c>
      <c r="C56">
        <v>5</v>
      </c>
      <c r="D56">
        <v>2020</v>
      </c>
    </row>
    <row r="57" spans="1:4" x14ac:dyDescent="0.2">
      <c r="A57">
        <v>2026</v>
      </c>
      <c r="B57" t="s">
        <v>75</v>
      </c>
      <c r="C57">
        <v>514</v>
      </c>
      <c r="D57">
        <v>2020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23"/>
  <dimension ref="A1:B16"/>
  <sheetViews>
    <sheetView workbookViewId="0">
      <selection activeCell="S66" sqref="S66"/>
    </sheetView>
  </sheetViews>
  <sheetFormatPr baseColWidth="10" defaultRowHeight="16" x14ac:dyDescent="0.2"/>
  <cols>
    <col min="1" max="1" width="14.6640625" customWidth="1"/>
    <col min="2" max="2" width="16.83203125" customWidth="1"/>
  </cols>
  <sheetData>
    <row r="1" spans="1:2" x14ac:dyDescent="0.2">
      <c r="A1" t="s">
        <v>87</v>
      </c>
      <c r="B1" t="s">
        <v>78</v>
      </c>
    </row>
    <row r="2" spans="1:2" x14ac:dyDescent="0.2">
      <c r="A2" t="s">
        <v>88</v>
      </c>
      <c r="B2" t="s">
        <v>82</v>
      </c>
    </row>
    <row r="3" spans="1:2" x14ac:dyDescent="0.2">
      <c r="A3" t="s">
        <v>89</v>
      </c>
      <c r="B3" t="s">
        <v>82</v>
      </c>
    </row>
    <row r="4" spans="1:2" x14ac:dyDescent="0.2">
      <c r="A4" t="s">
        <v>90</v>
      </c>
      <c r="B4" t="s">
        <v>82</v>
      </c>
    </row>
    <row r="5" spans="1:2" x14ac:dyDescent="0.2">
      <c r="A5" t="s">
        <v>91</v>
      </c>
      <c r="B5" t="s">
        <v>84</v>
      </c>
    </row>
    <row r="6" spans="1:2" x14ac:dyDescent="0.2">
      <c r="A6" t="s">
        <v>92</v>
      </c>
      <c r="B6" t="s">
        <v>84</v>
      </c>
    </row>
    <row r="7" spans="1:2" x14ac:dyDescent="0.2">
      <c r="A7" t="s">
        <v>93</v>
      </c>
      <c r="B7" t="s">
        <v>84</v>
      </c>
    </row>
    <row r="8" spans="1:2" x14ac:dyDescent="0.2">
      <c r="A8" t="s">
        <v>81</v>
      </c>
      <c r="B8" t="s">
        <v>84</v>
      </c>
    </row>
    <row r="9" spans="1:2" x14ac:dyDescent="0.2">
      <c r="A9" t="s">
        <v>94</v>
      </c>
      <c r="B9" t="s">
        <v>84</v>
      </c>
    </row>
    <row r="10" spans="1:2" x14ac:dyDescent="0.2">
      <c r="A10" t="s">
        <v>95</v>
      </c>
      <c r="B10" t="s">
        <v>84</v>
      </c>
    </row>
    <row r="11" spans="1:2" x14ac:dyDescent="0.2">
      <c r="A11" t="s">
        <v>90</v>
      </c>
      <c r="B11" t="s">
        <v>85</v>
      </c>
    </row>
    <row r="12" spans="1:2" x14ac:dyDescent="0.2">
      <c r="A12" t="s">
        <v>96</v>
      </c>
      <c r="B12" t="s">
        <v>85</v>
      </c>
    </row>
    <row r="13" spans="1:2" x14ac:dyDescent="0.2">
      <c r="A13" t="s">
        <v>97</v>
      </c>
      <c r="B13" t="s">
        <v>85</v>
      </c>
    </row>
    <row r="14" spans="1:2" x14ac:dyDescent="0.2">
      <c r="A14" t="s">
        <v>98</v>
      </c>
      <c r="B14" t="s">
        <v>85</v>
      </c>
    </row>
    <row r="15" spans="1:2" x14ac:dyDescent="0.2">
      <c r="A15" t="s">
        <v>99</v>
      </c>
      <c r="B15" t="s">
        <v>86</v>
      </c>
    </row>
    <row r="16" spans="1:2" x14ac:dyDescent="0.2">
      <c r="A16" t="s">
        <v>100</v>
      </c>
      <c r="B16" t="s">
        <v>86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24"/>
  <dimension ref="A1:H5"/>
  <sheetViews>
    <sheetView workbookViewId="0">
      <selection activeCell="S68" sqref="S68"/>
    </sheetView>
  </sheetViews>
  <sheetFormatPr baseColWidth="10" defaultRowHeight="16" x14ac:dyDescent="0.2"/>
  <sheetData>
    <row r="1" spans="1:8" x14ac:dyDescent="0.2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 x14ac:dyDescent="0.2">
      <c r="A2">
        <v>2010</v>
      </c>
      <c r="B2">
        <v>581</v>
      </c>
      <c r="C2">
        <v>240</v>
      </c>
      <c r="D2">
        <v>112</v>
      </c>
      <c r="E2">
        <v>33</v>
      </c>
      <c r="F2">
        <v>76</v>
      </c>
      <c r="G2">
        <v>340</v>
      </c>
      <c r="H2">
        <v>1382</v>
      </c>
    </row>
    <row r="3" spans="1:8" x14ac:dyDescent="0.2">
      <c r="A3">
        <v>2012</v>
      </c>
      <c r="B3">
        <v>535</v>
      </c>
      <c r="C3">
        <v>260</v>
      </c>
      <c r="D3">
        <v>108</v>
      </c>
      <c r="E3">
        <v>40</v>
      </c>
      <c r="F3">
        <v>83</v>
      </c>
      <c r="G3">
        <v>370</v>
      </c>
      <c r="H3">
        <v>1396</v>
      </c>
    </row>
    <row r="4" spans="1:8" x14ac:dyDescent="0.2">
      <c r="A4">
        <v>2015</v>
      </c>
      <c r="B4">
        <v>452</v>
      </c>
      <c r="C4">
        <v>282</v>
      </c>
      <c r="D4">
        <v>107</v>
      </c>
      <c r="E4">
        <v>46</v>
      </c>
      <c r="F4">
        <v>87</v>
      </c>
      <c r="G4">
        <v>385</v>
      </c>
      <c r="H4">
        <v>443</v>
      </c>
    </row>
    <row r="5" spans="1:8" x14ac:dyDescent="0.2">
      <c r="A5">
        <v>2025</v>
      </c>
      <c r="B5">
        <v>349</v>
      </c>
      <c r="C5">
        <v>226</v>
      </c>
      <c r="D5">
        <v>99</v>
      </c>
      <c r="E5">
        <v>57</v>
      </c>
      <c r="F5">
        <v>91</v>
      </c>
      <c r="G5">
        <v>443</v>
      </c>
      <c r="H5">
        <v>1265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25"/>
  <dimension ref="A1:F18"/>
  <sheetViews>
    <sheetView workbookViewId="0">
      <selection activeCell="N55" sqref="N55"/>
    </sheetView>
  </sheetViews>
  <sheetFormatPr baseColWidth="10" defaultRowHeight="16" x14ac:dyDescent="0.2"/>
  <sheetData>
    <row r="1" spans="1:6" x14ac:dyDescent="0.2">
      <c r="A1" t="s">
        <v>5</v>
      </c>
      <c r="B1" t="s">
        <v>129</v>
      </c>
      <c r="C1" t="s">
        <v>130</v>
      </c>
      <c r="D1" t="s">
        <v>131</v>
      </c>
      <c r="E1" t="s">
        <v>75</v>
      </c>
      <c r="F1" t="s">
        <v>132</v>
      </c>
    </row>
    <row r="2" spans="1:6" x14ac:dyDescent="0.2">
      <c r="A2">
        <v>2003</v>
      </c>
      <c r="B2">
        <v>0.65</v>
      </c>
      <c r="C2">
        <v>0.45</v>
      </c>
      <c r="E2">
        <f>SUM(B2:D2)</f>
        <v>1.1000000000000001</v>
      </c>
      <c r="F2" t="s">
        <v>133</v>
      </c>
    </row>
    <row r="3" spans="1:6" x14ac:dyDescent="0.2">
      <c r="A3">
        <v>2004</v>
      </c>
      <c r="B3">
        <v>0.68</v>
      </c>
      <c r="C3">
        <v>0.48</v>
      </c>
      <c r="E3">
        <f t="shared" ref="E3:E18" si="0">SUM(B3:D3)</f>
        <v>1.1600000000000001</v>
      </c>
      <c r="F3" t="s">
        <v>133</v>
      </c>
    </row>
    <row r="4" spans="1:6" x14ac:dyDescent="0.2">
      <c r="A4">
        <v>2005</v>
      </c>
      <c r="B4">
        <v>0.9</v>
      </c>
      <c r="C4">
        <v>0.7</v>
      </c>
      <c r="E4">
        <f t="shared" si="0"/>
        <v>1.6</v>
      </c>
    </row>
    <row r="5" spans="1:6" x14ac:dyDescent="0.2">
      <c r="A5">
        <v>2006</v>
      </c>
      <c r="B5">
        <v>0.95</v>
      </c>
      <c r="C5">
        <v>0.7</v>
      </c>
      <c r="E5">
        <f t="shared" si="0"/>
        <v>1.65</v>
      </c>
      <c r="F5" t="s">
        <v>134</v>
      </c>
    </row>
    <row r="6" spans="1:6" x14ac:dyDescent="0.2">
      <c r="A6">
        <v>2007</v>
      </c>
      <c r="B6">
        <v>1.1499999999999999</v>
      </c>
      <c r="C6">
        <v>0.65</v>
      </c>
      <c r="D6">
        <v>0.4</v>
      </c>
      <c r="E6">
        <f t="shared" si="0"/>
        <v>2.1999999999999997</v>
      </c>
      <c r="F6" t="s">
        <v>134</v>
      </c>
    </row>
    <row r="7" spans="1:6" x14ac:dyDescent="0.2">
      <c r="A7">
        <v>2008</v>
      </c>
      <c r="B7">
        <v>1.35</v>
      </c>
      <c r="C7">
        <v>0.5</v>
      </c>
      <c r="D7">
        <v>0.4</v>
      </c>
      <c r="E7">
        <f t="shared" si="0"/>
        <v>2.25</v>
      </c>
      <c r="F7" t="s">
        <v>134</v>
      </c>
    </row>
    <row r="8" spans="1:6" x14ac:dyDescent="0.2">
      <c r="A8">
        <v>2009</v>
      </c>
      <c r="B8">
        <v>1.65</v>
      </c>
      <c r="C8">
        <v>0.2</v>
      </c>
      <c r="D8">
        <v>0.25</v>
      </c>
      <c r="E8">
        <f t="shared" si="0"/>
        <v>2.0999999999999996</v>
      </c>
      <c r="F8" t="s">
        <v>135</v>
      </c>
    </row>
    <row r="9" spans="1:6" x14ac:dyDescent="0.2">
      <c r="A9">
        <v>2010</v>
      </c>
      <c r="B9">
        <v>1.75</v>
      </c>
      <c r="C9">
        <v>0.18</v>
      </c>
      <c r="D9">
        <v>0.35</v>
      </c>
      <c r="E9">
        <f t="shared" si="0"/>
        <v>2.2799999999999998</v>
      </c>
    </row>
    <row r="10" spans="1:6" x14ac:dyDescent="0.2">
      <c r="A10">
        <v>2011</v>
      </c>
      <c r="B10">
        <v>1.6</v>
      </c>
      <c r="C10">
        <v>0.15</v>
      </c>
      <c r="D10">
        <v>0.3</v>
      </c>
      <c r="E10">
        <f t="shared" si="0"/>
        <v>2.0499999999999998</v>
      </c>
      <c r="F10" t="s">
        <v>136</v>
      </c>
    </row>
    <row r="11" spans="1:6" x14ac:dyDescent="0.2">
      <c r="A11">
        <v>2012</v>
      </c>
      <c r="B11">
        <v>2.25</v>
      </c>
      <c r="C11">
        <v>0.14000000000000001</v>
      </c>
      <c r="D11">
        <v>0.33</v>
      </c>
      <c r="E11">
        <f t="shared" si="0"/>
        <v>2.72</v>
      </c>
      <c r="F11" t="s">
        <v>136</v>
      </c>
    </row>
    <row r="12" spans="1:6" x14ac:dyDescent="0.2">
      <c r="A12">
        <v>2013</v>
      </c>
      <c r="B12">
        <v>2.21</v>
      </c>
      <c r="C12">
        <v>0.16</v>
      </c>
      <c r="D12">
        <v>0.32</v>
      </c>
      <c r="E12">
        <f t="shared" si="0"/>
        <v>2.69</v>
      </c>
      <c r="F12" t="s">
        <v>136</v>
      </c>
    </row>
    <row r="13" spans="1:6" x14ac:dyDescent="0.2">
      <c r="A13">
        <v>2014</v>
      </c>
      <c r="B13">
        <v>2.15</v>
      </c>
      <c r="C13">
        <v>0.15</v>
      </c>
      <c r="D13">
        <v>0.3</v>
      </c>
      <c r="E13">
        <f t="shared" si="0"/>
        <v>2.5999999999999996</v>
      </c>
      <c r="F13" t="s">
        <v>137</v>
      </c>
    </row>
    <row r="14" spans="1:6" x14ac:dyDescent="0.2">
      <c r="A14">
        <v>2015</v>
      </c>
      <c r="B14">
        <v>2.15</v>
      </c>
      <c r="C14">
        <v>0.15</v>
      </c>
      <c r="D14">
        <v>0.28000000000000003</v>
      </c>
      <c r="E14">
        <f t="shared" si="0"/>
        <v>2.58</v>
      </c>
      <c r="F14" t="s">
        <v>137</v>
      </c>
    </row>
    <row r="15" spans="1:6" x14ac:dyDescent="0.2">
      <c r="A15">
        <v>2016</v>
      </c>
      <c r="B15">
        <v>2.2999999999999998</v>
      </c>
      <c r="C15">
        <v>0.17</v>
      </c>
      <c r="D15">
        <v>0.25</v>
      </c>
      <c r="E15">
        <f t="shared" si="0"/>
        <v>2.7199999999999998</v>
      </c>
      <c r="F15" t="s">
        <v>137</v>
      </c>
    </row>
    <row r="16" spans="1:6" x14ac:dyDescent="0.2">
      <c r="A16">
        <v>2017</v>
      </c>
      <c r="B16">
        <v>2.35</v>
      </c>
      <c r="C16">
        <v>0.19</v>
      </c>
      <c r="D16">
        <v>0.25</v>
      </c>
      <c r="E16">
        <f t="shared" si="0"/>
        <v>2.79</v>
      </c>
      <c r="F16" t="s">
        <v>137</v>
      </c>
    </row>
    <row r="17" spans="1:6" x14ac:dyDescent="0.2">
      <c r="A17">
        <v>2018</v>
      </c>
      <c r="B17">
        <v>2.35</v>
      </c>
      <c r="C17">
        <v>0.19</v>
      </c>
      <c r="D17">
        <v>0.3</v>
      </c>
      <c r="E17">
        <f t="shared" si="0"/>
        <v>2.84</v>
      </c>
    </row>
    <row r="18" spans="1:6" x14ac:dyDescent="0.2">
      <c r="A18">
        <v>2019</v>
      </c>
      <c r="B18">
        <v>3.3</v>
      </c>
      <c r="C18">
        <v>0.25</v>
      </c>
      <c r="D18">
        <v>0.3</v>
      </c>
      <c r="E18">
        <f t="shared" si="0"/>
        <v>3.8499999999999996</v>
      </c>
      <c r="F18" t="s">
        <v>138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5"/>
  <sheetViews>
    <sheetView workbookViewId="0">
      <selection activeCell="L33" sqref="L33"/>
    </sheetView>
  </sheetViews>
  <sheetFormatPr baseColWidth="10" defaultRowHeight="16" x14ac:dyDescent="0.2"/>
  <sheetData>
    <row r="1" spans="1:5" x14ac:dyDescent="0.2">
      <c r="A1" t="s">
        <v>5</v>
      </c>
      <c r="B1" t="s">
        <v>299</v>
      </c>
      <c r="C1" t="s">
        <v>300</v>
      </c>
      <c r="D1" t="s">
        <v>239</v>
      </c>
      <c r="E1" t="s">
        <v>240</v>
      </c>
    </row>
    <row r="2" spans="1:5" x14ac:dyDescent="0.2">
      <c r="A2">
        <v>1980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1981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1982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1983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1984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1985</v>
      </c>
      <c r="B7">
        <v>0.11111111111111099</v>
      </c>
      <c r="C7">
        <v>0</v>
      </c>
      <c r="D7">
        <v>0</v>
      </c>
      <c r="E7">
        <v>0</v>
      </c>
    </row>
    <row r="8" spans="1:5" x14ac:dyDescent="0.2">
      <c r="A8">
        <v>1986</v>
      </c>
      <c r="B8">
        <v>0.22222222222222199</v>
      </c>
      <c r="C8">
        <v>0</v>
      </c>
      <c r="D8">
        <v>0</v>
      </c>
      <c r="E8">
        <v>0</v>
      </c>
    </row>
    <row r="9" spans="1:5" x14ac:dyDescent="0.2">
      <c r="A9">
        <v>1987</v>
      </c>
      <c r="B9">
        <v>0.33333333333333298</v>
      </c>
      <c r="C9">
        <v>0</v>
      </c>
      <c r="D9">
        <v>0</v>
      </c>
      <c r="E9">
        <v>0</v>
      </c>
    </row>
    <row r="10" spans="1:5" x14ac:dyDescent="0.2">
      <c r="A10">
        <v>1988</v>
      </c>
      <c r="B10">
        <v>0.44444444444444398</v>
      </c>
      <c r="C10">
        <v>0</v>
      </c>
      <c r="D10">
        <v>0</v>
      </c>
      <c r="E10">
        <v>0</v>
      </c>
    </row>
    <row r="11" spans="1:5" x14ac:dyDescent="0.2">
      <c r="A11">
        <v>1989</v>
      </c>
      <c r="B11">
        <v>0.55555555555555491</v>
      </c>
      <c r="C11">
        <v>0</v>
      </c>
      <c r="D11">
        <v>0</v>
      </c>
      <c r="E11">
        <v>0</v>
      </c>
    </row>
    <row r="12" spans="1:5" x14ac:dyDescent="0.2">
      <c r="A12">
        <v>1990</v>
      </c>
      <c r="B12">
        <v>0.66666666666666596</v>
      </c>
      <c r="C12">
        <v>0</v>
      </c>
      <c r="D12">
        <v>0</v>
      </c>
      <c r="E12">
        <v>0</v>
      </c>
    </row>
    <row r="13" spans="1:5" x14ac:dyDescent="0.2">
      <c r="A13">
        <v>1991</v>
      </c>
      <c r="B13">
        <v>0.77777777777777701</v>
      </c>
      <c r="C13">
        <v>0</v>
      </c>
      <c r="D13">
        <v>0</v>
      </c>
      <c r="E13">
        <v>0</v>
      </c>
    </row>
    <row r="14" spans="1:5" x14ac:dyDescent="0.2">
      <c r="A14">
        <v>1992</v>
      </c>
      <c r="B14">
        <v>0.88888888888888795</v>
      </c>
      <c r="C14">
        <v>0</v>
      </c>
      <c r="D14">
        <v>0</v>
      </c>
      <c r="E14">
        <v>0</v>
      </c>
    </row>
    <row r="15" spans="1:5" x14ac:dyDescent="0.2">
      <c r="A15">
        <v>1993</v>
      </c>
      <c r="B15">
        <v>0.99999999999999889</v>
      </c>
      <c r="C15">
        <v>0</v>
      </c>
      <c r="D15">
        <v>0</v>
      </c>
      <c r="E15">
        <v>0</v>
      </c>
    </row>
    <row r="16" spans="1:5" x14ac:dyDescent="0.2">
      <c r="A16">
        <v>1994</v>
      </c>
      <c r="B16">
        <v>0.99999999999999889</v>
      </c>
      <c r="C16">
        <v>0</v>
      </c>
      <c r="D16">
        <v>0</v>
      </c>
      <c r="E16">
        <v>0</v>
      </c>
    </row>
    <row r="17" spans="1:5" x14ac:dyDescent="0.2">
      <c r="A17">
        <v>1995</v>
      </c>
      <c r="B17">
        <v>0.99999999999999889</v>
      </c>
      <c r="C17">
        <v>0</v>
      </c>
      <c r="D17">
        <v>0</v>
      </c>
      <c r="E17">
        <v>0</v>
      </c>
    </row>
    <row r="18" spans="1:5" x14ac:dyDescent="0.2">
      <c r="A18">
        <v>1996</v>
      </c>
      <c r="B18">
        <v>0.99999999999999889</v>
      </c>
      <c r="C18">
        <v>0</v>
      </c>
      <c r="D18">
        <v>0</v>
      </c>
      <c r="E18">
        <v>0</v>
      </c>
    </row>
    <row r="19" spans="1:5" x14ac:dyDescent="0.2">
      <c r="A19">
        <v>1997</v>
      </c>
      <c r="B19">
        <v>0.99999999999999889</v>
      </c>
      <c r="C19">
        <v>0</v>
      </c>
      <c r="D19">
        <v>0</v>
      </c>
      <c r="E19">
        <v>0</v>
      </c>
    </row>
    <row r="20" spans="1:5" x14ac:dyDescent="0.2">
      <c r="A20">
        <v>1998</v>
      </c>
      <c r="B20">
        <v>0.99999999999999889</v>
      </c>
      <c r="C20">
        <v>0</v>
      </c>
      <c r="D20">
        <v>0</v>
      </c>
      <c r="E20">
        <v>0</v>
      </c>
    </row>
    <row r="21" spans="1:5" x14ac:dyDescent="0.2">
      <c r="A21">
        <v>1999</v>
      </c>
      <c r="B21">
        <v>0.99999999999999889</v>
      </c>
      <c r="C21">
        <v>0</v>
      </c>
      <c r="D21">
        <v>0</v>
      </c>
      <c r="E21">
        <v>0</v>
      </c>
    </row>
    <row r="22" spans="1:5" x14ac:dyDescent="0.2">
      <c r="A22">
        <v>2000</v>
      </c>
      <c r="B22">
        <v>0.99999999999999889</v>
      </c>
      <c r="C22">
        <v>0.16</v>
      </c>
      <c r="D22">
        <v>0</v>
      </c>
      <c r="E22">
        <v>0</v>
      </c>
    </row>
    <row r="23" spans="1:5" x14ac:dyDescent="0.2">
      <c r="A23">
        <v>2001</v>
      </c>
      <c r="B23">
        <v>0.99999999999999889</v>
      </c>
      <c r="C23">
        <v>0.32</v>
      </c>
      <c r="D23">
        <v>0</v>
      </c>
      <c r="E23">
        <v>0</v>
      </c>
    </row>
    <row r="24" spans="1:5" x14ac:dyDescent="0.2">
      <c r="A24">
        <v>2002</v>
      </c>
      <c r="B24">
        <v>0.99999999999999889</v>
      </c>
      <c r="C24">
        <v>0.48</v>
      </c>
      <c r="D24">
        <v>0</v>
      </c>
      <c r="E24">
        <v>0</v>
      </c>
    </row>
    <row r="25" spans="1:5" x14ac:dyDescent="0.2">
      <c r="A25">
        <v>2003</v>
      </c>
      <c r="B25">
        <v>0.99999999999999889</v>
      </c>
      <c r="C25">
        <v>0.64</v>
      </c>
      <c r="D25">
        <v>0</v>
      </c>
      <c r="E25">
        <v>0</v>
      </c>
    </row>
    <row r="26" spans="1:5" x14ac:dyDescent="0.2">
      <c r="A26">
        <v>2004</v>
      </c>
      <c r="B26">
        <v>0.99999999999999889</v>
      </c>
      <c r="C26">
        <v>0.8</v>
      </c>
      <c r="D26">
        <v>0</v>
      </c>
      <c r="E26">
        <v>0</v>
      </c>
    </row>
    <row r="27" spans="1:5" x14ac:dyDescent="0.2">
      <c r="A27">
        <v>2005</v>
      </c>
      <c r="B27">
        <v>0.99999999999999889</v>
      </c>
      <c r="C27">
        <v>1</v>
      </c>
      <c r="D27">
        <v>0.99999999999999911</v>
      </c>
      <c r="E27">
        <v>0.99999999999999911</v>
      </c>
    </row>
    <row r="28" spans="1:5" x14ac:dyDescent="0.2">
      <c r="A28">
        <v>2006</v>
      </c>
      <c r="B28">
        <v>0.99999999999999889</v>
      </c>
      <c r="C28">
        <v>1</v>
      </c>
      <c r="D28">
        <v>0.99999999999999911</v>
      </c>
      <c r="E28">
        <v>0.99999999999999911</v>
      </c>
    </row>
    <row r="29" spans="1:5" x14ac:dyDescent="0.2">
      <c r="A29">
        <v>2007</v>
      </c>
      <c r="B29">
        <v>0.99999999999999889</v>
      </c>
      <c r="C29">
        <v>1</v>
      </c>
      <c r="D29">
        <v>0.99999999999999911</v>
      </c>
      <c r="E29">
        <v>0.99999999999999911</v>
      </c>
    </row>
    <row r="30" spans="1:5" x14ac:dyDescent="0.2">
      <c r="A30">
        <v>2008</v>
      </c>
      <c r="B30">
        <v>0.99999999999999889</v>
      </c>
      <c r="C30">
        <v>1</v>
      </c>
      <c r="D30">
        <v>0.99999999999999911</v>
      </c>
      <c r="E30">
        <v>0.99999999999999911</v>
      </c>
    </row>
    <row r="31" spans="1:5" x14ac:dyDescent="0.2">
      <c r="A31">
        <v>2009</v>
      </c>
      <c r="B31">
        <v>0.99999999999999889</v>
      </c>
      <c r="C31">
        <v>1</v>
      </c>
      <c r="D31">
        <v>0.99999999999999911</v>
      </c>
      <c r="E31">
        <v>0.99999999999999911</v>
      </c>
    </row>
    <row r="32" spans="1:5" x14ac:dyDescent="0.2">
      <c r="A32">
        <v>2010</v>
      </c>
      <c r="B32">
        <v>0.99999999999999889</v>
      </c>
      <c r="C32">
        <v>1</v>
      </c>
      <c r="D32">
        <v>0.99999999999999911</v>
      </c>
      <c r="E32">
        <v>0.99999999999999911</v>
      </c>
    </row>
    <row r="33" spans="1:5" x14ac:dyDescent="0.2">
      <c r="A33">
        <v>2011</v>
      </c>
      <c r="B33">
        <v>0.99999999999999889</v>
      </c>
      <c r="C33">
        <v>1</v>
      </c>
      <c r="D33">
        <v>0.99999999999999911</v>
      </c>
      <c r="E33">
        <v>0.99999999999999911</v>
      </c>
    </row>
    <row r="34" spans="1:5" x14ac:dyDescent="0.2">
      <c r="A34">
        <v>2012</v>
      </c>
      <c r="B34">
        <v>0.99999999999999889</v>
      </c>
      <c r="C34">
        <v>1</v>
      </c>
      <c r="D34">
        <v>0.99999999999999911</v>
      </c>
      <c r="E34">
        <v>0.99999999999999911</v>
      </c>
    </row>
    <row r="35" spans="1:5" x14ac:dyDescent="0.2">
      <c r="A35">
        <v>2013</v>
      </c>
      <c r="B35">
        <v>0.99999999999999889</v>
      </c>
      <c r="C35">
        <v>1</v>
      </c>
      <c r="D35">
        <v>0.99999999999999911</v>
      </c>
      <c r="E35">
        <v>0.99999999999999911</v>
      </c>
    </row>
    <row r="36" spans="1:5" x14ac:dyDescent="0.2">
      <c r="A36">
        <v>2014</v>
      </c>
      <c r="B36">
        <v>0.99999999999999889</v>
      </c>
      <c r="C36">
        <v>1</v>
      </c>
      <c r="D36">
        <v>0.99999999999999911</v>
      </c>
      <c r="E36">
        <v>0.99999999999999911</v>
      </c>
    </row>
    <row r="37" spans="1:5" x14ac:dyDescent="0.2">
      <c r="A37">
        <v>2015</v>
      </c>
      <c r="B37">
        <v>0.99999999999999889</v>
      </c>
      <c r="C37">
        <v>1</v>
      </c>
      <c r="D37">
        <v>0.99999999999999911</v>
      </c>
      <c r="E37">
        <v>0.99999999999999911</v>
      </c>
    </row>
    <row r="38" spans="1:5" x14ac:dyDescent="0.2">
      <c r="A38">
        <v>2016</v>
      </c>
      <c r="B38">
        <v>0.999999999999999</v>
      </c>
      <c r="C38">
        <v>1</v>
      </c>
      <c r="D38">
        <v>0.999999999999999</v>
      </c>
      <c r="E38">
        <v>0.999999999999999</v>
      </c>
    </row>
    <row r="39" spans="1:5" x14ac:dyDescent="0.2">
      <c r="A39">
        <v>2017</v>
      </c>
      <c r="B39">
        <v>0.999999999999999</v>
      </c>
      <c r="C39">
        <v>1</v>
      </c>
      <c r="D39">
        <v>0.999999999999999</v>
      </c>
      <c r="E39">
        <v>0.999999999999999</v>
      </c>
    </row>
    <row r="40" spans="1:5" x14ac:dyDescent="0.2">
      <c r="A40">
        <v>2018</v>
      </c>
      <c r="B40">
        <v>0.999999999999999</v>
      </c>
      <c r="C40">
        <v>1</v>
      </c>
      <c r="D40">
        <v>0.999999999999999</v>
      </c>
      <c r="E40">
        <v>0.999999999999999</v>
      </c>
    </row>
    <row r="41" spans="1:5" x14ac:dyDescent="0.2">
      <c r="A41">
        <v>2019</v>
      </c>
      <c r="B41">
        <v>0.999999999999999</v>
      </c>
      <c r="C41">
        <v>1</v>
      </c>
      <c r="D41">
        <v>0.999999999999999</v>
      </c>
      <c r="E41">
        <v>0.999999999999999</v>
      </c>
    </row>
    <row r="42" spans="1:5" x14ac:dyDescent="0.2">
      <c r="A42">
        <v>2020</v>
      </c>
      <c r="B42">
        <v>0.999999999999999</v>
      </c>
      <c r="C42">
        <v>1</v>
      </c>
      <c r="D42">
        <v>0.999999999999999</v>
      </c>
      <c r="E42">
        <v>0.999999999999999</v>
      </c>
    </row>
    <row r="43" spans="1:5" x14ac:dyDescent="0.2">
      <c r="A43">
        <v>2021</v>
      </c>
      <c r="B43">
        <v>0.999999999999999</v>
      </c>
      <c r="C43">
        <v>1</v>
      </c>
      <c r="D43">
        <v>0.999999999999999</v>
      </c>
      <c r="E43">
        <v>0.999999999999999</v>
      </c>
    </row>
    <row r="44" spans="1:5" x14ac:dyDescent="0.2">
      <c r="A44">
        <v>2022</v>
      </c>
      <c r="B44">
        <v>0.999999999999999</v>
      </c>
      <c r="C44">
        <v>1</v>
      </c>
      <c r="D44">
        <v>0.999999999999999</v>
      </c>
      <c r="E44">
        <v>0.999999999999999</v>
      </c>
    </row>
    <row r="45" spans="1:5" x14ac:dyDescent="0.2">
      <c r="A45">
        <v>2023</v>
      </c>
      <c r="B45">
        <v>0.999999999999999</v>
      </c>
      <c r="C45">
        <v>1</v>
      </c>
      <c r="D45">
        <v>0.999999999999999</v>
      </c>
      <c r="E45">
        <v>0.999999999999999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5"/>
  <sheetViews>
    <sheetView workbookViewId="0">
      <selection activeCell="E1" sqref="E1"/>
    </sheetView>
  </sheetViews>
  <sheetFormatPr baseColWidth="10" defaultRowHeight="16" x14ac:dyDescent="0.2"/>
  <sheetData>
    <row r="1" spans="1:5" x14ac:dyDescent="0.2">
      <c r="A1" t="s">
        <v>5</v>
      </c>
      <c r="B1" t="s">
        <v>226</v>
      </c>
      <c r="C1" t="s">
        <v>304</v>
      </c>
      <c r="D1" t="s">
        <v>305</v>
      </c>
      <c r="E1" t="s">
        <v>306</v>
      </c>
    </row>
    <row r="2" spans="1:5" x14ac:dyDescent="0.2">
      <c r="A2">
        <v>1980</v>
      </c>
      <c r="B2">
        <v>1.4877551020408166</v>
      </c>
      <c r="C2">
        <v>1.0501800720288117</v>
      </c>
      <c r="D2">
        <v>1.4877551020408166</v>
      </c>
      <c r="E2">
        <v>1.9253301320528216</v>
      </c>
    </row>
    <row r="3" spans="1:5" x14ac:dyDescent="0.2">
      <c r="A3">
        <v>1981</v>
      </c>
      <c r="B3">
        <v>1.4877551020408166</v>
      </c>
      <c r="C3">
        <v>1.0501800720288117</v>
      </c>
      <c r="D3">
        <v>1.4877551020408166</v>
      </c>
      <c r="E3">
        <v>1.9253301320528216</v>
      </c>
    </row>
    <row r="4" spans="1:5" x14ac:dyDescent="0.2">
      <c r="A4">
        <v>1982</v>
      </c>
      <c r="B4">
        <v>1.4877551020408166</v>
      </c>
      <c r="C4">
        <v>1.0501800720288117</v>
      </c>
      <c r="D4">
        <v>1.4877551020408166</v>
      </c>
      <c r="E4">
        <v>1.9253301320528216</v>
      </c>
    </row>
    <row r="5" spans="1:5" x14ac:dyDescent="0.2">
      <c r="A5">
        <v>1983</v>
      </c>
      <c r="B5">
        <v>1.4877551020408166</v>
      </c>
      <c r="C5">
        <v>1.0501800720288117</v>
      </c>
      <c r="D5">
        <v>1.4877551020408166</v>
      </c>
      <c r="E5">
        <v>1.9253301320528216</v>
      </c>
    </row>
    <row r="6" spans="1:5" x14ac:dyDescent="0.2">
      <c r="A6">
        <v>1984</v>
      </c>
      <c r="B6">
        <v>1.4877551020408166</v>
      </c>
      <c r="C6">
        <v>1.0501800720288117</v>
      </c>
      <c r="D6">
        <v>1.4877551020408166</v>
      </c>
      <c r="E6">
        <v>1.9253301320528216</v>
      </c>
    </row>
    <row r="7" spans="1:5" x14ac:dyDescent="0.2">
      <c r="A7">
        <v>1985</v>
      </c>
      <c r="B7">
        <v>1.4877551020408166</v>
      </c>
      <c r="C7">
        <v>1.0501800720288117</v>
      </c>
      <c r="D7">
        <v>1.4877551020408166</v>
      </c>
      <c r="E7">
        <v>1.9253301320528216</v>
      </c>
    </row>
    <row r="8" spans="1:5" x14ac:dyDescent="0.2">
      <c r="A8">
        <v>1986</v>
      </c>
      <c r="B8">
        <v>1.4877551020408166</v>
      </c>
      <c r="C8">
        <v>1.0501800720288117</v>
      </c>
      <c r="D8">
        <v>1.4877551020408166</v>
      </c>
      <c r="E8">
        <v>1.9253301320528216</v>
      </c>
    </row>
    <row r="9" spans="1:5" x14ac:dyDescent="0.2">
      <c r="A9">
        <v>1987</v>
      </c>
      <c r="B9">
        <v>1.4877551020408166</v>
      </c>
      <c r="C9">
        <v>1.0501800720288117</v>
      </c>
      <c r="D9">
        <v>1.4877551020408166</v>
      </c>
      <c r="E9">
        <v>1.9253301320528216</v>
      </c>
    </row>
    <row r="10" spans="1:5" x14ac:dyDescent="0.2">
      <c r="A10">
        <v>1988</v>
      </c>
      <c r="B10">
        <v>1.4877551020408166</v>
      </c>
      <c r="C10">
        <v>1.0501800720288117</v>
      </c>
      <c r="D10">
        <v>1.4877551020408166</v>
      </c>
      <c r="E10">
        <v>1.9253301320528216</v>
      </c>
    </row>
    <row r="11" spans="1:5" x14ac:dyDescent="0.2">
      <c r="A11">
        <v>1989</v>
      </c>
      <c r="B11">
        <v>1.4877551020408166</v>
      </c>
      <c r="C11">
        <v>1.0501800720288117</v>
      </c>
      <c r="D11">
        <v>1.4877551020408166</v>
      </c>
      <c r="E11">
        <v>1.9253301320528216</v>
      </c>
    </row>
    <row r="12" spans="1:5" x14ac:dyDescent="0.2">
      <c r="A12">
        <v>1990</v>
      </c>
      <c r="B12">
        <v>1.4877551020408166</v>
      </c>
      <c r="C12">
        <v>1.0501800720288117</v>
      </c>
      <c r="D12">
        <v>1.4877551020408166</v>
      </c>
      <c r="E12">
        <v>1.9253301320528216</v>
      </c>
    </row>
    <row r="13" spans="1:5" x14ac:dyDescent="0.2">
      <c r="A13">
        <v>1991</v>
      </c>
      <c r="B13">
        <v>1.4877551020408166</v>
      </c>
      <c r="C13">
        <v>1.0501800720288117</v>
      </c>
      <c r="D13">
        <v>1.4877551020408166</v>
      </c>
      <c r="E13">
        <v>1.9253301320528216</v>
      </c>
    </row>
    <row r="14" spans="1:5" x14ac:dyDescent="0.2">
      <c r="A14">
        <v>1992</v>
      </c>
      <c r="B14">
        <v>1.4877551020408166</v>
      </c>
      <c r="C14">
        <v>1.0501800720288117</v>
      </c>
      <c r="D14">
        <v>1.4877551020408166</v>
      </c>
      <c r="E14">
        <v>1.9253301320528216</v>
      </c>
    </row>
    <row r="15" spans="1:5" x14ac:dyDescent="0.2">
      <c r="A15">
        <v>1993</v>
      </c>
      <c r="B15">
        <v>1.4877551020408166</v>
      </c>
      <c r="C15">
        <v>1.0501800720288117</v>
      </c>
      <c r="D15">
        <v>1.4877551020408166</v>
      </c>
      <c r="E15">
        <v>1.9253301320528216</v>
      </c>
    </row>
    <row r="16" spans="1:5" x14ac:dyDescent="0.2">
      <c r="A16">
        <v>1994</v>
      </c>
      <c r="B16">
        <v>1.4877551020408166</v>
      </c>
      <c r="C16">
        <v>1.0501800720288117</v>
      </c>
      <c r="D16">
        <v>1.4877551020408166</v>
      </c>
      <c r="E16">
        <v>1.9253301320528216</v>
      </c>
    </row>
    <row r="17" spans="1:5" x14ac:dyDescent="0.2">
      <c r="A17">
        <v>1995</v>
      </c>
      <c r="B17">
        <v>1.4877551020408166</v>
      </c>
      <c r="C17">
        <v>1.0501800720288117</v>
      </c>
      <c r="D17">
        <v>1.4877551020408166</v>
      </c>
      <c r="E17">
        <v>1.9253301320528216</v>
      </c>
    </row>
    <row r="18" spans="1:5" x14ac:dyDescent="0.2">
      <c r="A18">
        <v>1996</v>
      </c>
      <c r="B18">
        <v>1.4877551020408166</v>
      </c>
      <c r="C18">
        <v>1.0501800720288117</v>
      </c>
      <c r="D18">
        <v>1.4877551020408166</v>
      </c>
      <c r="E18">
        <v>1.9253301320528216</v>
      </c>
    </row>
    <row r="19" spans="1:5" x14ac:dyDescent="0.2">
      <c r="A19">
        <v>1997</v>
      </c>
      <c r="B19">
        <v>2.3142857142857145</v>
      </c>
      <c r="C19">
        <v>1.6336134453781515</v>
      </c>
      <c r="D19">
        <v>2.3142857142857145</v>
      </c>
      <c r="E19">
        <v>2.9949579831932778</v>
      </c>
    </row>
    <row r="20" spans="1:5" x14ac:dyDescent="0.2">
      <c r="A20">
        <v>1998</v>
      </c>
      <c r="B20">
        <v>2.3142857142857145</v>
      </c>
      <c r="C20">
        <v>1.6336134453781515</v>
      </c>
      <c r="D20">
        <v>2.3142857142857145</v>
      </c>
      <c r="E20">
        <v>2.9949579831932778</v>
      </c>
    </row>
    <row r="21" spans="1:5" x14ac:dyDescent="0.2">
      <c r="A21">
        <v>1999</v>
      </c>
      <c r="B21">
        <v>2.3142857142857145</v>
      </c>
      <c r="C21">
        <v>1.6336134453781515</v>
      </c>
      <c r="D21">
        <v>2.3142857142857145</v>
      </c>
      <c r="E21">
        <v>2.9949579831932778</v>
      </c>
    </row>
    <row r="22" spans="1:5" x14ac:dyDescent="0.2">
      <c r="A22">
        <v>2000</v>
      </c>
      <c r="B22">
        <v>2.3142857142857145</v>
      </c>
      <c r="C22">
        <v>1.6336134453781515</v>
      </c>
      <c r="D22">
        <v>2.3142857142857145</v>
      </c>
      <c r="E22">
        <v>2.9949579831932778</v>
      </c>
    </row>
    <row r="23" spans="1:5" x14ac:dyDescent="0.2">
      <c r="A23">
        <v>2001</v>
      </c>
      <c r="B23">
        <v>3.6</v>
      </c>
      <c r="C23">
        <v>2.5411764705882356</v>
      </c>
      <c r="D23">
        <v>3.6</v>
      </c>
      <c r="E23">
        <v>4.658823529411765</v>
      </c>
    </row>
    <row r="24" spans="1:5" x14ac:dyDescent="0.2">
      <c r="A24">
        <v>2002</v>
      </c>
      <c r="B24">
        <v>3.6</v>
      </c>
      <c r="C24">
        <v>2.5411764705882356</v>
      </c>
      <c r="D24">
        <v>3.6</v>
      </c>
      <c r="E24">
        <v>4.658823529411765</v>
      </c>
    </row>
    <row r="25" spans="1:5" x14ac:dyDescent="0.2">
      <c r="A25">
        <v>2003</v>
      </c>
      <c r="B25">
        <v>3.6</v>
      </c>
      <c r="C25">
        <v>2.5411764705882356</v>
      </c>
      <c r="D25">
        <v>3.6</v>
      </c>
      <c r="E25">
        <v>4.658823529411765</v>
      </c>
    </row>
    <row r="26" spans="1:5" x14ac:dyDescent="0.2">
      <c r="A26">
        <v>2004</v>
      </c>
      <c r="B26">
        <v>3.6</v>
      </c>
      <c r="C26">
        <v>2.5411764705882356</v>
      </c>
      <c r="D26">
        <v>3.6</v>
      </c>
      <c r="E26">
        <v>4.658823529411765</v>
      </c>
    </row>
    <row r="27" spans="1:5" x14ac:dyDescent="0.2">
      <c r="A27">
        <v>2005</v>
      </c>
      <c r="B27">
        <v>3.6</v>
      </c>
      <c r="C27">
        <v>2.5411764705882356</v>
      </c>
      <c r="D27">
        <v>3.6</v>
      </c>
      <c r="E27">
        <v>4.658823529411765</v>
      </c>
    </row>
    <row r="28" spans="1:5" x14ac:dyDescent="0.2">
      <c r="A28">
        <v>2006</v>
      </c>
      <c r="B28">
        <v>5.6</v>
      </c>
      <c r="C28">
        <v>3.9529411764705884</v>
      </c>
      <c r="D28">
        <v>5.6</v>
      </c>
      <c r="E28">
        <v>7.2470588235294118</v>
      </c>
    </row>
    <row r="29" spans="1:5" x14ac:dyDescent="0.2">
      <c r="A29">
        <v>2007</v>
      </c>
      <c r="B29">
        <v>5.6</v>
      </c>
      <c r="C29">
        <v>3.9529411764705884</v>
      </c>
      <c r="D29">
        <v>5.6</v>
      </c>
      <c r="E29">
        <v>7.2470588235294118</v>
      </c>
    </row>
    <row r="30" spans="1:5" x14ac:dyDescent="0.2">
      <c r="A30">
        <v>2008</v>
      </c>
      <c r="B30">
        <v>5.6</v>
      </c>
      <c r="C30">
        <v>3.9529411764705884</v>
      </c>
      <c r="D30">
        <v>5.6</v>
      </c>
      <c r="E30">
        <v>7.2470588235294118</v>
      </c>
    </row>
    <row r="31" spans="1:5" x14ac:dyDescent="0.2">
      <c r="A31">
        <v>2009</v>
      </c>
      <c r="B31">
        <v>5.6</v>
      </c>
      <c r="C31">
        <v>3.9529411764705884</v>
      </c>
      <c r="D31">
        <v>5.6</v>
      </c>
      <c r="E31">
        <v>7.2470588235294118</v>
      </c>
    </row>
    <row r="32" spans="1:5" x14ac:dyDescent="0.2">
      <c r="A32">
        <v>2010</v>
      </c>
      <c r="B32">
        <v>5.6</v>
      </c>
      <c r="C32">
        <v>3.9529411764705884</v>
      </c>
      <c r="D32">
        <v>5.6</v>
      </c>
      <c r="E32">
        <v>7.2470588235294118</v>
      </c>
    </row>
    <row r="33" spans="1:5" x14ac:dyDescent="0.2">
      <c r="A33">
        <v>2011</v>
      </c>
      <c r="B33">
        <v>5.6</v>
      </c>
      <c r="C33">
        <v>3.9529411764705884</v>
      </c>
      <c r="D33">
        <v>5.6</v>
      </c>
      <c r="E33">
        <v>7.2470588235294118</v>
      </c>
    </row>
    <row r="34" spans="1:5" x14ac:dyDescent="0.2">
      <c r="A34">
        <v>2012</v>
      </c>
      <c r="B34">
        <v>5.6</v>
      </c>
      <c r="C34">
        <v>3.9529411764705884</v>
      </c>
      <c r="D34">
        <v>5.6</v>
      </c>
      <c r="E34">
        <v>7.2470588235294118</v>
      </c>
    </row>
    <row r="35" spans="1:5" x14ac:dyDescent="0.2">
      <c r="A35">
        <v>2013</v>
      </c>
      <c r="B35">
        <v>5.6</v>
      </c>
      <c r="C35">
        <v>3.9529411764705884</v>
      </c>
      <c r="D35">
        <v>5.6</v>
      </c>
      <c r="E35">
        <v>7.2470588235294118</v>
      </c>
    </row>
    <row r="36" spans="1:5" x14ac:dyDescent="0.2">
      <c r="A36">
        <v>2014</v>
      </c>
      <c r="B36">
        <v>5.6</v>
      </c>
      <c r="C36">
        <v>3.9529411764705884</v>
      </c>
      <c r="D36">
        <v>5.6</v>
      </c>
      <c r="E36">
        <v>7.2470588235294118</v>
      </c>
    </row>
    <row r="37" spans="1:5" x14ac:dyDescent="0.2">
      <c r="A37">
        <v>2015</v>
      </c>
      <c r="B37">
        <v>5.6</v>
      </c>
      <c r="C37">
        <v>3.9529411764705884</v>
      </c>
      <c r="D37">
        <v>5.6</v>
      </c>
      <c r="E37">
        <v>7.2470588235294118</v>
      </c>
    </row>
    <row r="38" spans="1:5" x14ac:dyDescent="0.2">
      <c r="A38">
        <v>2016</v>
      </c>
      <c r="B38">
        <v>5.6</v>
      </c>
      <c r="C38">
        <v>3.9529411764705884</v>
      </c>
      <c r="D38">
        <v>5.6</v>
      </c>
      <c r="E38">
        <v>7.2470588235294118</v>
      </c>
    </row>
    <row r="39" spans="1:5" x14ac:dyDescent="0.2">
      <c r="A39">
        <v>2017</v>
      </c>
      <c r="B39">
        <v>5.6</v>
      </c>
      <c r="C39">
        <v>3.9529411764705884</v>
      </c>
      <c r="D39">
        <v>5.6</v>
      </c>
      <c r="E39">
        <v>7.2470588235294118</v>
      </c>
    </row>
    <row r="40" spans="1:5" x14ac:dyDescent="0.2">
      <c r="A40">
        <v>2018</v>
      </c>
      <c r="B40">
        <v>5.6</v>
      </c>
      <c r="C40">
        <v>3.9529411764705884</v>
      </c>
      <c r="D40">
        <v>5.6</v>
      </c>
      <c r="E40">
        <v>7.2470588235294118</v>
      </c>
    </row>
    <row r="41" spans="1:5" x14ac:dyDescent="0.2">
      <c r="A41">
        <v>2019</v>
      </c>
      <c r="B41">
        <v>5.6</v>
      </c>
      <c r="C41">
        <v>3.9529411764705884</v>
      </c>
      <c r="D41">
        <v>5.6</v>
      </c>
      <c r="E41">
        <v>7.2470588235294118</v>
      </c>
    </row>
    <row r="42" spans="1:5" x14ac:dyDescent="0.2">
      <c r="A42">
        <v>2020</v>
      </c>
      <c r="B42">
        <v>5.6</v>
      </c>
      <c r="C42">
        <v>3.9529411764705884</v>
      </c>
      <c r="D42">
        <v>5.6</v>
      </c>
      <c r="E42">
        <v>7.2470588235294118</v>
      </c>
    </row>
    <row r="43" spans="1:5" x14ac:dyDescent="0.2">
      <c r="A43">
        <v>2021</v>
      </c>
      <c r="B43">
        <v>5.6</v>
      </c>
      <c r="C43">
        <v>3.9529411764705884</v>
      </c>
      <c r="D43">
        <v>5.6</v>
      </c>
      <c r="E43">
        <v>7.2470588235294118</v>
      </c>
    </row>
    <row r="44" spans="1:5" x14ac:dyDescent="0.2">
      <c r="A44">
        <v>2022</v>
      </c>
      <c r="B44">
        <v>5.6</v>
      </c>
      <c r="C44">
        <v>3.9529411764705884</v>
      </c>
      <c r="D44">
        <v>5.6</v>
      </c>
      <c r="E44">
        <v>7.2470588235294118</v>
      </c>
    </row>
    <row r="45" spans="1:5" x14ac:dyDescent="0.2">
      <c r="A45">
        <v>2023</v>
      </c>
      <c r="B45">
        <v>5.6</v>
      </c>
      <c r="C45">
        <v>3.9529411764705884</v>
      </c>
      <c r="D45">
        <v>5.6</v>
      </c>
      <c r="E45">
        <v>7.2470588235294118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6"/>
  <sheetViews>
    <sheetView workbookViewId="0">
      <selection activeCell="A2" sqref="A2"/>
    </sheetView>
  </sheetViews>
  <sheetFormatPr baseColWidth="10" defaultRowHeight="16" x14ac:dyDescent="0.2"/>
  <sheetData>
    <row r="1" spans="1:3" x14ac:dyDescent="0.2">
      <c r="A1" t="s">
        <v>303</v>
      </c>
      <c r="B1" t="s">
        <v>241</v>
      </c>
      <c r="C1" t="s">
        <v>238</v>
      </c>
    </row>
    <row r="2" spans="1:3" x14ac:dyDescent="0.2">
      <c r="A2" t="s">
        <v>130</v>
      </c>
      <c r="B2">
        <v>1.4333333333333334E-4</v>
      </c>
      <c r="C2">
        <v>9.4135135135135144E-4</v>
      </c>
    </row>
    <row r="3" spans="1:3" x14ac:dyDescent="0.2">
      <c r="A3" t="s">
        <v>129</v>
      </c>
      <c r="B3">
        <v>1.0033333333333333E-3</v>
      </c>
      <c r="C3">
        <v>3.4864864864864864E-4</v>
      </c>
    </row>
    <row r="4" spans="1:3" x14ac:dyDescent="0.2">
      <c r="A4" t="s">
        <v>131</v>
      </c>
      <c r="B4">
        <v>1.4333333333333334E-4</v>
      </c>
      <c r="C4">
        <v>0</v>
      </c>
    </row>
    <row r="5" spans="1:3" x14ac:dyDescent="0.2">
      <c r="A5" t="s">
        <v>301</v>
      </c>
      <c r="B5">
        <v>6.6E-3</v>
      </c>
      <c r="C5">
        <v>8.3455770094297249E-4</v>
      </c>
    </row>
    <row r="6" spans="1:3" x14ac:dyDescent="0.2">
      <c r="A6" t="s">
        <v>302</v>
      </c>
      <c r="B6">
        <v>1.0200000000000001E-3</v>
      </c>
      <c r="C6">
        <v>1.2897709923664121E-4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6"/>
  <sheetViews>
    <sheetView zoomScale="221" zoomScaleNormal="221" workbookViewId="0">
      <selection activeCell="F6" sqref="F6"/>
    </sheetView>
  </sheetViews>
  <sheetFormatPr baseColWidth="10" defaultRowHeight="16" x14ac:dyDescent="0.2"/>
  <cols>
    <col min="1" max="1" width="19.6640625" customWidth="1"/>
  </cols>
  <sheetData>
    <row r="1" spans="1:6" x14ac:dyDescent="0.2">
      <c r="A1" t="s">
        <v>331</v>
      </c>
      <c r="B1" t="s">
        <v>328</v>
      </c>
      <c r="C1" t="s">
        <v>0</v>
      </c>
      <c r="D1" t="s">
        <v>240</v>
      </c>
      <c r="E1" t="s">
        <v>239</v>
      </c>
      <c r="F1" t="s">
        <v>343</v>
      </c>
    </row>
    <row r="2" spans="1:6" x14ac:dyDescent="0.2">
      <c r="A2" t="s">
        <v>324</v>
      </c>
      <c r="B2">
        <v>0.60339999999999994</v>
      </c>
      <c r="C2">
        <v>33.353400000000001</v>
      </c>
      <c r="D2">
        <v>25.403400000000001</v>
      </c>
      <c r="E2">
        <v>14.4034</v>
      </c>
      <c r="F2">
        <v>25.403400000000001</v>
      </c>
    </row>
    <row r="3" spans="1:6" x14ac:dyDescent="0.2">
      <c r="A3" t="s">
        <v>329</v>
      </c>
      <c r="B3">
        <v>28.419244714393091</v>
      </c>
      <c r="C3">
        <v>15.157335297202685</v>
      </c>
      <c r="D3">
        <v>29.125244714393091</v>
      </c>
      <c r="E3">
        <v>28.419244714393091</v>
      </c>
      <c r="F3">
        <v>15.157335297202685</v>
      </c>
    </row>
    <row r="4" spans="1:6" x14ac:dyDescent="0.2">
      <c r="A4" t="s">
        <v>330</v>
      </c>
      <c r="B4">
        <v>10.647112035195926</v>
      </c>
      <c r="C4">
        <v>9.0121120351959245</v>
      </c>
      <c r="D4">
        <v>10.647112035195926</v>
      </c>
      <c r="E4">
        <v>10.647112035195926</v>
      </c>
      <c r="F4">
        <v>10.647112035195926</v>
      </c>
    </row>
    <row r="5" spans="1:6" x14ac:dyDescent="0.2">
      <c r="A5" t="s">
        <v>327</v>
      </c>
      <c r="B5">
        <v>8.8903333333333201</v>
      </c>
      <c r="C5">
        <v>8.8903333333333201</v>
      </c>
      <c r="D5">
        <v>8.8903333333333201</v>
      </c>
      <c r="E5">
        <v>8.8903333333333201</v>
      </c>
      <c r="F5">
        <v>8.8903333333333201</v>
      </c>
    </row>
    <row r="6" spans="1:6" x14ac:dyDescent="0.2">
      <c r="A6" t="s">
        <v>326</v>
      </c>
      <c r="B6">
        <v>3.5</v>
      </c>
      <c r="C6">
        <v>8.5</v>
      </c>
      <c r="D6">
        <v>8.5</v>
      </c>
      <c r="E6">
        <v>6.5</v>
      </c>
      <c r="F6">
        <v>8.5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7"/>
  <sheetViews>
    <sheetView zoomScale="191" zoomScaleNormal="191" workbookViewId="0">
      <selection activeCell="J8" sqref="J8"/>
    </sheetView>
  </sheetViews>
  <sheetFormatPr baseColWidth="10" defaultRowHeight="16" x14ac:dyDescent="0.2"/>
  <cols>
    <col min="1" max="1" width="19.5" customWidth="1"/>
  </cols>
  <sheetData>
    <row r="1" spans="1:10" x14ac:dyDescent="0.2">
      <c r="A1" t="s">
        <v>331</v>
      </c>
      <c r="B1" t="s">
        <v>332</v>
      </c>
      <c r="C1" t="s">
        <v>333</v>
      </c>
      <c r="D1" t="s">
        <v>1</v>
      </c>
      <c r="E1" t="s">
        <v>8</v>
      </c>
      <c r="F1" t="s">
        <v>2</v>
      </c>
      <c r="G1" t="s">
        <v>334</v>
      </c>
      <c r="H1" t="s">
        <v>336</v>
      </c>
      <c r="I1" t="s">
        <v>335</v>
      </c>
      <c r="J1" t="s">
        <v>337</v>
      </c>
    </row>
    <row r="2" spans="1:10" x14ac:dyDescent="0.2">
      <c r="A2" t="s">
        <v>324</v>
      </c>
      <c r="B2">
        <v>0.2</v>
      </c>
      <c r="C2">
        <v>0.15</v>
      </c>
      <c r="D2">
        <v>0.05</v>
      </c>
      <c r="E2">
        <v>0.1</v>
      </c>
      <c r="F2">
        <v>0.05</v>
      </c>
      <c r="G2">
        <v>0</v>
      </c>
      <c r="H2">
        <v>0.05</v>
      </c>
      <c r="I2">
        <v>0.2</v>
      </c>
      <c r="J2">
        <v>0.15</v>
      </c>
    </row>
    <row r="3" spans="1:10" x14ac:dyDescent="0.2">
      <c r="A3" t="s">
        <v>329</v>
      </c>
      <c r="B3">
        <v>0.10959025902126066</v>
      </c>
      <c r="C3">
        <v>0.10959025902126066</v>
      </c>
      <c r="D3">
        <v>8.7516576313963076E-2</v>
      </c>
      <c r="E3">
        <v>8.7516576313963076E-2</v>
      </c>
      <c r="F3">
        <v>8.7516576313963076E-2</v>
      </c>
      <c r="G3">
        <v>0</v>
      </c>
      <c r="H3">
        <v>6.4467184743099662E-2</v>
      </c>
      <c r="I3">
        <v>7.0000000000000007E-2</v>
      </c>
      <c r="J3">
        <v>0.38380256827248971</v>
      </c>
    </row>
    <row r="4" spans="1:10" x14ac:dyDescent="0.2">
      <c r="A4" t="s">
        <v>330</v>
      </c>
      <c r="B4">
        <v>9.8896179306112025E-2</v>
      </c>
      <c r="C4">
        <v>9.8896179306112025E-2</v>
      </c>
      <c r="D4">
        <v>0.13415887946769031</v>
      </c>
      <c r="E4">
        <v>0.13415887946769031</v>
      </c>
      <c r="F4">
        <v>0.13415887946769031</v>
      </c>
      <c r="G4">
        <v>0</v>
      </c>
      <c r="H4">
        <v>0.14170455690965023</v>
      </c>
      <c r="I4">
        <v>7.0000000000000007E-2</v>
      </c>
      <c r="J4">
        <v>0.1880264460750547</v>
      </c>
    </row>
    <row r="5" spans="1:10" x14ac:dyDescent="0.2">
      <c r="A5" t="s">
        <v>327</v>
      </c>
      <c r="B5">
        <v>4.5331051568357691E-2</v>
      </c>
      <c r="C5">
        <v>4.5331051568357691E-2</v>
      </c>
      <c r="D5">
        <v>2.4670245928952575E-2</v>
      </c>
      <c r="E5">
        <v>2.4670245928952575E-2</v>
      </c>
      <c r="F5">
        <v>2.4670245928952575E-2</v>
      </c>
      <c r="G5">
        <v>0</v>
      </c>
      <c r="H5">
        <v>9.7341977779551656E-2</v>
      </c>
      <c r="I5">
        <v>0.05</v>
      </c>
      <c r="J5">
        <v>0.68798518129687525</v>
      </c>
    </row>
    <row r="6" spans="1:10" x14ac:dyDescent="0.2">
      <c r="A6" t="s">
        <v>326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0.8</v>
      </c>
      <c r="J6">
        <v>0.19999999999999996</v>
      </c>
    </row>
    <row r="7" spans="1:10" x14ac:dyDescent="0.2">
      <c r="A7" t="s">
        <v>338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0.98</v>
      </c>
      <c r="J7">
        <v>0.02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5"/>
  <sheetViews>
    <sheetView zoomScale="120" zoomScaleNormal="120" workbookViewId="0">
      <selection activeCell="B6" sqref="B6"/>
    </sheetView>
  </sheetViews>
  <sheetFormatPr baseColWidth="10" defaultRowHeight="16" x14ac:dyDescent="0.2"/>
  <cols>
    <col min="1" max="1" width="55.1640625" customWidth="1"/>
    <col min="2" max="2" width="22.5" customWidth="1"/>
    <col min="3" max="3" width="13.6640625" customWidth="1"/>
    <col min="4" max="4" width="19.5" customWidth="1"/>
    <col min="5" max="5" width="66.1640625" customWidth="1"/>
  </cols>
  <sheetData>
    <row r="1" spans="1:3" x14ac:dyDescent="0.2">
      <c r="A1" t="s">
        <v>307</v>
      </c>
      <c r="B1" t="s">
        <v>66</v>
      </c>
      <c r="C1" s="3" t="s">
        <v>310</v>
      </c>
    </row>
    <row r="2" spans="1:3" x14ac:dyDescent="0.2">
      <c r="A2" t="s">
        <v>139</v>
      </c>
      <c r="B2" t="s">
        <v>323</v>
      </c>
      <c r="C2" s="3">
        <v>3333.3333333333335</v>
      </c>
    </row>
    <row r="3" spans="1:3" x14ac:dyDescent="0.2">
      <c r="A3" t="s">
        <v>140</v>
      </c>
      <c r="B3" t="s">
        <v>323</v>
      </c>
      <c r="C3" s="3">
        <v>1966.9724137931034</v>
      </c>
    </row>
    <row r="4" spans="1:3" x14ac:dyDescent="0.2">
      <c r="A4" t="s">
        <v>141</v>
      </c>
      <c r="B4" t="s">
        <v>323</v>
      </c>
      <c r="C4" s="3">
        <v>3265.3121212121214</v>
      </c>
    </row>
    <row r="5" spans="1:3" x14ac:dyDescent="0.2">
      <c r="A5" t="s">
        <v>142</v>
      </c>
      <c r="B5" t="s">
        <v>323</v>
      </c>
      <c r="C5" s="3">
        <v>483.57142857142856</v>
      </c>
    </row>
    <row r="6" spans="1:3" x14ac:dyDescent="0.2">
      <c r="A6" t="s">
        <v>143</v>
      </c>
      <c r="B6" t="s">
        <v>324</v>
      </c>
      <c r="C6" s="3">
        <v>603.4</v>
      </c>
    </row>
    <row r="7" spans="1:3" x14ac:dyDescent="0.2">
      <c r="A7" t="s">
        <v>144</v>
      </c>
      <c r="B7" t="s">
        <v>323</v>
      </c>
      <c r="C7" s="3">
        <v>1024.8620689655172</v>
      </c>
    </row>
    <row r="8" spans="1:3" x14ac:dyDescent="0.2">
      <c r="A8" t="s">
        <v>145</v>
      </c>
      <c r="B8" t="s">
        <v>323</v>
      </c>
      <c r="C8" s="3">
        <v>5969.0137931034478</v>
      </c>
    </row>
    <row r="9" spans="1:3" x14ac:dyDescent="0.2">
      <c r="A9" t="s">
        <v>146</v>
      </c>
      <c r="B9" t="s">
        <v>325</v>
      </c>
      <c r="C9" s="3">
        <v>741.0526315789474</v>
      </c>
    </row>
    <row r="10" spans="1:3" x14ac:dyDescent="0.2">
      <c r="A10" t="s">
        <v>147</v>
      </c>
      <c r="B10" t="s">
        <v>326</v>
      </c>
      <c r="C10" s="3">
        <v>3500</v>
      </c>
    </row>
    <row r="11" spans="1:3" x14ac:dyDescent="0.2">
      <c r="A11" t="s">
        <v>148</v>
      </c>
      <c r="B11" t="s">
        <v>323</v>
      </c>
      <c r="C11" s="3">
        <v>885.96470588235297</v>
      </c>
    </row>
    <row r="12" spans="1:3" x14ac:dyDescent="0.2">
      <c r="A12" t="s">
        <v>149</v>
      </c>
      <c r="B12" t="s">
        <v>323</v>
      </c>
      <c r="C12" s="3">
        <v>2319.0473684210529</v>
      </c>
    </row>
    <row r="13" spans="1:3" x14ac:dyDescent="0.2">
      <c r="A13" t="s">
        <v>150</v>
      </c>
      <c r="B13" t="s">
        <v>323</v>
      </c>
      <c r="C13" s="3">
        <v>338.40625</v>
      </c>
    </row>
    <row r="14" spans="1:3" x14ac:dyDescent="0.2">
      <c r="A14" t="s">
        <v>151</v>
      </c>
      <c r="B14" t="s">
        <v>323</v>
      </c>
      <c r="C14" s="3">
        <v>1544.3924528301886</v>
      </c>
    </row>
    <row r="15" spans="1:3" x14ac:dyDescent="0.2">
      <c r="A15" t="s">
        <v>152</v>
      </c>
      <c r="B15" t="s">
        <v>327</v>
      </c>
      <c r="C15" s="3">
        <v>8890.3333333333194</v>
      </c>
    </row>
    <row r="16" spans="1:3" x14ac:dyDescent="0.2">
      <c r="A16" t="s">
        <v>153</v>
      </c>
      <c r="B16" t="s">
        <v>325</v>
      </c>
      <c r="C16" s="3">
        <v>592.83333333333337</v>
      </c>
    </row>
    <row r="17" spans="1:3" x14ac:dyDescent="0.2">
      <c r="A17" t="s">
        <v>154</v>
      </c>
      <c r="B17" t="s">
        <v>323</v>
      </c>
      <c r="C17" s="3">
        <v>1030.3333333333333</v>
      </c>
    </row>
    <row r="18" spans="1:3" x14ac:dyDescent="0.2">
      <c r="A18" t="s">
        <v>155</v>
      </c>
      <c r="B18" t="s">
        <v>325</v>
      </c>
      <c r="C18" s="3">
        <v>712.22181818181821</v>
      </c>
    </row>
    <row r="19" spans="1:3" x14ac:dyDescent="0.2">
      <c r="A19" t="s">
        <v>309</v>
      </c>
      <c r="B19" t="s">
        <v>325</v>
      </c>
      <c r="C19" s="3">
        <v>349.5</v>
      </c>
    </row>
    <row r="20" spans="1:3" x14ac:dyDescent="0.2">
      <c r="A20" t="s">
        <v>156</v>
      </c>
      <c r="B20" t="s">
        <v>325</v>
      </c>
      <c r="C20" s="3">
        <v>813</v>
      </c>
    </row>
    <row r="21" spans="1:3" x14ac:dyDescent="0.2">
      <c r="A21" t="s">
        <v>157</v>
      </c>
      <c r="B21" t="s">
        <v>325</v>
      </c>
      <c r="C21" s="3">
        <v>1073.8</v>
      </c>
    </row>
    <row r="22" spans="1:3" x14ac:dyDescent="0.2">
      <c r="A22" t="s">
        <v>158</v>
      </c>
      <c r="B22" t="s">
        <v>325</v>
      </c>
      <c r="C22" s="3">
        <v>354.84210526315792</v>
      </c>
    </row>
    <row r="23" spans="1:3" x14ac:dyDescent="0.2">
      <c r="A23" t="s">
        <v>159</v>
      </c>
      <c r="B23" t="s">
        <v>325</v>
      </c>
      <c r="C23" s="3">
        <v>1609.5246376811594</v>
      </c>
    </row>
    <row r="24" spans="1:3" x14ac:dyDescent="0.2">
      <c r="A24" t="s">
        <v>160</v>
      </c>
      <c r="B24" t="s">
        <v>325</v>
      </c>
      <c r="C24" s="3">
        <v>281.51333333333332</v>
      </c>
    </row>
    <row r="25" spans="1:3" x14ac:dyDescent="0.2">
      <c r="A25" t="s">
        <v>161</v>
      </c>
      <c r="B25" t="s">
        <v>325</v>
      </c>
      <c r="C25" s="3">
        <v>361.53846153846155</v>
      </c>
    </row>
    <row r="26" spans="1:3" x14ac:dyDescent="0.2">
      <c r="A26" t="s">
        <v>162</v>
      </c>
      <c r="B26" t="s">
        <v>325</v>
      </c>
      <c r="C26" s="3">
        <v>1635</v>
      </c>
    </row>
    <row r="27" spans="1:3" x14ac:dyDescent="0.2">
      <c r="A27" t="s">
        <v>163</v>
      </c>
      <c r="B27" t="s">
        <v>323</v>
      </c>
      <c r="C27" s="3">
        <v>100.69230769230769</v>
      </c>
    </row>
    <row r="28" spans="1:3" x14ac:dyDescent="0.2">
      <c r="A28" t="s">
        <v>164</v>
      </c>
      <c r="B28" t="s">
        <v>323</v>
      </c>
      <c r="C28" s="3">
        <v>715.67647058823525</v>
      </c>
    </row>
    <row r="29" spans="1:3" x14ac:dyDescent="0.2">
      <c r="A29" t="s">
        <v>165</v>
      </c>
      <c r="B29" t="s">
        <v>325</v>
      </c>
      <c r="C29" s="3">
        <v>1672.2857142857142</v>
      </c>
    </row>
    <row r="30" spans="1:3" x14ac:dyDescent="0.2">
      <c r="A30" t="s">
        <v>166</v>
      </c>
      <c r="B30" t="s">
        <v>323</v>
      </c>
      <c r="C30" s="3">
        <v>1295</v>
      </c>
    </row>
    <row r="31" spans="1:3" x14ac:dyDescent="0.2">
      <c r="A31" t="s">
        <v>167</v>
      </c>
      <c r="B31" t="s">
        <v>323</v>
      </c>
      <c r="C31" s="3">
        <v>418.5</v>
      </c>
    </row>
    <row r="32" spans="1:3" x14ac:dyDescent="0.2">
      <c r="A32" t="s">
        <v>168</v>
      </c>
      <c r="B32" t="s">
        <v>323</v>
      </c>
      <c r="C32" s="3">
        <v>2163.9166666666665</v>
      </c>
    </row>
    <row r="33" spans="1:3" x14ac:dyDescent="0.2">
      <c r="A33" t="s">
        <v>169</v>
      </c>
      <c r="B33" t="s">
        <v>323</v>
      </c>
      <c r="C33" s="3">
        <v>165.25</v>
      </c>
    </row>
    <row r="34" spans="1:3" x14ac:dyDescent="0.2">
      <c r="A34" t="s">
        <v>170</v>
      </c>
      <c r="B34" t="s">
        <v>325</v>
      </c>
      <c r="C34" s="3">
        <v>450</v>
      </c>
    </row>
    <row r="35" spans="1:3" x14ac:dyDescent="0.2">
      <c r="A35" t="s">
        <v>171</v>
      </c>
      <c r="B35" t="s">
        <v>323</v>
      </c>
      <c r="C35" s="3">
        <v>1399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8"/>
  <sheetViews>
    <sheetView workbookViewId="0">
      <selection activeCell="B12" sqref="B12"/>
    </sheetView>
  </sheetViews>
  <sheetFormatPr baseColWidth="10" defaultRowHeight="16" x14ac:dyDescent="0.2"/>
  <cols>
    <col min="1" max="1" width="57.33203125" customWidth="1"/>
    <col min="2" max="2" width="19.5" customWidth="1"/>
    <col min="3" max="3" width="29.6640625" customWidth="1"/>
  </cols>
  <sheetData>
    <row r="1" spans="1:3" x14ac:dyDescent="0.2">
      <c r="A1" t="s">
        <v>307</v>
      </c>
      <c r="B1" t="s">
        <v>66</v>
      </c>
      <c r="C1" t="s">
        <v>310</v>
      </c>
    </row>
    <row r="2" spans="1:3" x14ac:dyDescent="0.2">
      <c r="A2" t="s">
        <v>139</v>
      </c>
      <c r="B2" t="s">
        <v>323</v>
      </c>
      <c r="C2">
        <v>3333.3333333333335</v>
      </c>
    </row>
    <row r="3" spans="1:3" x14ac:dyDescent="0.2">
      <c r="A3" t="s">
        <v>140</v>
      </c>
      <c r="B3" t="s">
        <v>323</v>
      </c>
      <c r="C3">
        <v>1966.9724137931034</v>
      </c>
    </row>
    <row r="4" spans="1:3" x14ac:dyDescent="0.2">
      <c r="A4" t="s">
        <v>311</v>
      </c>
      <c r="B4" t="s">
        <v>324</v>
      </c>
      <c r="C4">
        <v>250</v>
      </c>
    </row>
    <row r="5" spans="1:3" x14ac:dyDescent="0.2">
      <c r="A5" t="s">
        <v>313</v>
      </c>
      <c r="B5" t="s">
        <v>324</v>
      </c>
      <c r="C5">
        <v>603.4</v>
      </c>
    </row>
    <row r="6" spans="1:3" x14ac:dyDescent="0.2">
      <c r="A6" t="s">
        <v>144</v>
      </c>
      <c r="B6" t="s">
        <v>323</v>
      </c>
      <c r="C6">
        <v>1024.8620689655172</v>
      </c>
    </row>
    <row r="7" spans="1:3" x14ac:dyDescent="0.2">
      <c r="A7" t="s">
        <v>314</v>
      </c>
      <c r="B7" t="s">
        <v>312</v>
      </c>
      <c r="C7">
        <v>13550</v>
      </c>
    </row>
    <row r="8" spans="1:3" x14ac:dyDescent="0.2">
      <c r="A8" t="s">
        <v>146</v>
      </c>
      <c r="B8" t="s">
        <v>325</v>
      </c>
      <c r="C8">
        <v>741.0526315789474</v>
      </c>
    </row>
    <row r="9" spans="1:3" x14ac:dyDescent="0.2">
      <c r="A9" t="s">
        <v>147</v>
      </c>
      <c r="B9" t="s">
        <v>326</v>
      </c>
      <c r="C9">
        <v>4000</v>
      </c>
    </row>
    <row r="10" spans="1:3" x14ac:dyDescent="0.2">
      <c r="A10" t="s">
        <v>150</v>
      </c>
      <c r="B10" t="s">
        <v>323</v>
      </c>
      <c r="C10">
        <v>338.40625</v>
      </c>
    </row>
    <row r="11" spans="1:3" x14ac:dyDescent="0.2">
      <c r="A11" t="s">
        <v>315</v>
      </c>
      <c r="B11" t="s">
        <v>324</v>
      </c>
      <c r="C11">
        <v>11000</v>
      </c>
    </row>
    <row r="12" spans="1:3" x14ac:dyDescent="0.2">
      <c r="A12" t="s">
        <v>316</v>
      </c>
      <c r="B12" t="s">
        <v>326</v>
      </c>
      <c r="C12">
        <v>4500</v>
      </c>
    </row>
    <row r="13" spans="1:3" x14ac:dyDescent="0.2">
      <c r="A13" t="s">
        <v>151</v>
      </c>
      <c r="B13" t="s">
        <v>323</v>
      </c>
      <c r="C13">
        <v>1544.3924528301886</v>
      </c>
    </row>
    <row r="14" spans="1:3" x14ac:dyDescent="0.2">
      <c r="A14" t="s">
        <v>152</v>
      </c>
      <c r="B14" t="s">
        <v>327</v>
      </c>
      <c r="C14">
        <v>8890.3333333333194</v>
      </c>
    </row>
    <row r="15" spans="1:3" x14ac:dyDescent="0.2">
      <c r="A15" t="s">
        <v>153</v>
      </c>
      <c r="B15" t="s">
        <v>325</v>
      </c>
      <c r="C15">
        <v>592.83333333333337</v>
      </c>
    </row>
    <row r="16" spans="1:3" x14ac:dyDescent="0.2">
      <c r="A16" t="s">
        <v>154</v>
      </c>
      <c r="B16" t="s">
        <v>323</v>
      </c>
      <c r="C16">
        <v>1030.3333333333333</v>
      </c>
    </row>
    <row r="17" spans="1:3" x14ac:dyDescent="0.2">
      <c r="A17" t="s">
        <v>155</v>
      </c>
      <c r="B17" t="s">
        <v>325</v>
      </c>
      <c r="C17">
        <v>712.22181818181821</v>
      </c>
    </row>
    <row r="18" spans="1:3" x14ac:dyDescent="0.2">
      <c r="A18" t="s">
        <v>309</v>
      </c>
      <c r="B18" t="s">
        <v>325</v>
      </c>
      <c r="C18">
        <v>349.5</v>
      </c>
    </row>
    <row r="19" spans="1:3" x14ac:dyDescent="0.2">
      <c r="A19" t="s">
        <v>156</v>
      </c>
      <c r="B19" t="s">
        <v>325</v>
      </c>
      <c r="C19">
        <v>813</v>
      </c>
    </row>
    <row r="20" spans="1:3" x14ac:dyDescent="0.2">
      <c r="A20" t="s">
        <v>157</v>
      </c>
      <c r="B20" t="s">
        <v>325</v>
      </c>
      <c r="C20">
        <v>1073.8</v>
      </c>
    </row>
    <row r="21" spans="1:3" x14ac:dyDescent="0.2">
      <c r="A21" t="s">
        <v>158</v>
      </c>
      <c r="B21" t="s">
        <v>325</v>
      </c>
      <c r="C21">
        <v>354.84210526315792</v>
      </c>
    </row>
    <row r="22" spans="1:3" x14ac:dyDescent="0.2">
      <c r="A22" t="s">
        <v>159</v>
      </c>
      <c r="B22" t="s">
        <v>325</v>
      </c>
      <c r="C22">
        <v>1609.5246376811594</v>
      </c>
    </row>
    <row r="23" spans="1:3" x14ac:dyDescent="0.2">
      <c r="A23" t="s">
        <v>160</v>
      </c>
      <c r="B23" t="s">
        <v>325</v>
      </c>
      <c r="C23">
        <v>281.51333333333332</v>
      </c>
    </row>
    <row r="24" spans="1:3" x14ac:dyDescent="0.2">
      <c r="A24" t="s">
        <v>161</v>
      </c>
      <c r="B24" t="s">
        <v>325</v>
      </c>
      <c r="C24">
        <v>361.53846153846155</v>
      </c>
    </row>
    <row r="25" spans="1:3" x14ac:dyDescent="0.2">
      <c r="A25" t="s">
        <v>163</v>
      </c>
      <c r="B25" t="s">
        <v>323</v>
      </c>
      <c r="C25">
        <v>100.69230769230769</v>
      </c>
    </row>
    <row r="26" spans="1:3" x14ac:dyDescent="0.2">
      <c r="A26" t="s">
        <v>164</v>
      </c>
      <c r="B26" t="s">
        <v>323</v>
      </c>
      <c r="C26">
        <v>715.67647058823525</v>
      </c>
    </row>
    <row r="27" spans="1:3" x14ac:dyDescent="0.2">
      <c r="A27" t="s">
        <v>165</v>
      </c>
      <c r="B27" t="s">
        <v>325</v>
      </c>
      <c r="C27">
        <v>1672.2857142857142</v>
      </c>
    </row>
    <row r="28" spans="1:3" x14ac:dyDescent="0.2">
      <c r="A28" t="s">
        <v>317</v>
      </c>
      <c r="B28" t="s">
        <v>323</v>
      </c>
      <c r="C28">
        <v>706</v>
      </c>
    </row>
    <row r="29" spans="1:3" x14ac:dyDescent="0.2">
      <c r="A29" t="s">
        <v>167</v>
      </c>
      <c r="B29" t="s">
        <v>323</v>
      </c>
      <c r="C29">
        <v>418.5</v>
      </c>
    </row>
    <row r="30" spans="1:3" x14ac:dyDescent="0.2">
      <c r="A30" t="s">
        <v>168</v>
      </c>
      <c r="B30" t="s">
        <v>323</v>
      </c>
      <c r="C30">
        <v>2163.9166666666665</v>
      </c>
    </row>
    <row r="31" spans="1:3" x14ac:dyDescent="0.2">
      <c r="A31" t="s">
        <v>169</v>
      </c>
      <c r="B31" t="s">
        <v>323</v>
      </c>
      <c r="C31">
        <v>165.25</v>
      </c>
    </row>
    <row r="32" spans="1:3" x14ac:dyDescent="0.2">
      <c r="A32" t="s">
        <v>170</v>
      </c>
      <c r="B32" t="s">
        <v>325</v>
      </c>
      <c r="C32">
        <v>450</v>
      </c>
    </row>
    <row r="33" spans="1:3" x14ac:dyDescent="0.2">
      <c r="A33" t="s">
        <v>318</v>
      </c>
      <c r="B33" t="s">
        <v>325</v>
      </c>
      <c r="C33">
        <v>0</v>
      </c>
    </row>
    <row r="34" spans="1:3" x14ac:dyDescent="0.2">
      <c r="A34" t="s">
        <v>171</v>
      </c>
      <c r="B34" t="s">
        <v>323</v>
      </c>
      <c r="C34">
        <v>1399</v>
      </c>
    </row>
    <row r="35" spans="1:3" x14ac:dyDescent="0.2">
      <c r="A35" t="s">
        <v>319</v>
      </c>
      <c r="B35" t="s">
        <v>325</v>
      </c>
      <c r="C35">
        <v>0</v>
      </c>
    </row>
    <row r="36" spans="1:3" x14ac:dyDescent="0.2">
      <c r="A36" t="s">
        <v>320</v>
      </c>
      <c r="B36" t="s">
        <v>324</v>
      </c>
      <c r="C36">
        <v>2200</v>
      </c>
    </row>
    <row r="37" spans="1:3" x14ac:dyDescent="0.2">
      <c r="A37" t="s">
        <v>321</v>
      </c>
      <c r="B37" t="s">
        <v>324</v>
      </c>
      <c r="C37">
        <v>450</v>
      </c>
    </row>
    <row r="38" spans="1:3" x14ac:dyDescent="0.2">
      <c r="A38" t="s">
        <v>322</v>
      </c>
      <c r="B38" t="s">
        <v>324</v>
      </c>
      <c r="C38">
        <v>5300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39"/>
  <sheetViews>
    <sheetView workbookViewId="0">
      <selection activeCell="B15" sqref="B15"/>
    </sheetView>
  </sheetViews>
  <sheetFormatPr baseColWidth="10" defaultRowHeight="16" x14ac:dyDescent="0.2"/>
  <cols>
    <col min="1" max="1" width="52.6640625" customWidth="1"/>
    <col min="2" max="2" width="35.83203125" customWidth="1"/>
    <col min="3" max="3" width="24" customWidth="1"/>
  </cols>
  <sheetData>
    <row r="1" spans="1:3" x14ac:dyDescent="0.2">
      <c r="A1" t="s">
        <v>307</v>
      </c>
      <c r="B1" t="s">
        <v>66</v>
      </c>
      <c r="C1" s="3" t="s">
        <v>310</v>
      </c>
    </row>
    <row r="2" spans="1:3" x14ac:dyDescent="0.2">
      <c r="A2" t="s">
        <v>141</v>
      </c>
      <c r="B2" t="s">
        <v>323</v>
      </c>
      <c r="C2">
        <v>3265.3121212121214</v>
      </c>
    </row>
    <row r="3" spans="1:3" x14ac:dyDescent="0.2">
      <c r="A3" t="s">
        <v>142</v>
      </c>
      <c r="B3" t="s">
        <v>323</v>
      </c>
      <c r="C3">
        <v>483.57142857142856</v>
      </c>
    </row>
    <row r="4" spans="1:3" x14ac:dyDescent="0.2">
      <c r="A4" t="s">
        <v>145</v>
      </c>
      <c r="B4" t="s">
        <v>323</v>
      </c>
      <c r="C4">
        <v>5969.0137931034478</v>
      </c>
    </row>
    <row r="5" spans="1:3" x14ac:dyDescent="0.2">
      <c r="A5" t="s">
        <v>148</v>
      </c>
      <c r="B5" t="s">
        <v>323</v>
      </c>
      <c r="C5">
        <v>885.96470588235297</v>
      </c>
    </row>
    <row r="6" spans="1:3" x14ac:dyDescent="0.2">
      <c r="A6" t="s">
        <v>149</v>
      </c>
      <c r="B6" t="s">
        <v>323</v>
      </c>
      <c r="C6">
        <v>2319.0473684210529</v>
      </c>
    </row>
    <row r="7" spans="1:3" x14ac:dyDescent="0.2">
      <c r="A7" t="s">
        <v>166</v>
      </c>
      <c r="B7" t="s">
        <v>323</v>
      </c>
      <c r="C7">
        <v>1295</v>
      </c>
    </row>
    <row r="8" spans="1:3" x14ac:dyDescent="0.2">
      <c r="A8" t="s">
        <v>139</v>
      </c>
      <c r="B8" t="s">
        <v>323</v>
      </c>
      <c r="C8">
        <v>3333.3333333333335</v>
      </c>
    </row>
    <row r="9" spans="1:3" x14ac:dyDescent="0.2">
      <c r="A9" t="s">
        <v>140</v>
      </c>
      <c r="B9" t="s">
        <v>323</v>
      </c>
      <c r="C9">
        <v>1966.9724137931034</v>
      </c>
    </row>
    <row r="10" spans="1:3" x14ac:dyDescent="0.2">
      <c r="A10" t="s">
        <v>311</v>
      </c>
      <c r="B10" t="s">
        <v>324</v>
      </c>
      <c r="C10">
        <v>250</v>
      </c>
    </row>
    <row r="11" spans="1:3" x14ac:dyDescent="0.2">
      <c r="A11" t="s">
        <v>313</v>
      </c>
      <c r="B11" t="s">
        <v>324</v>
      </c>
      <c r="C11">
        <v>603.4</v>
      </c>
    </row>
    <row r="12" spans="1:3" x14ac:dyDescent="0.2">
      <c r="A12" t="s">
        <v>144</v>
      </c>
      <c r="B12" t="s">
        <v>323</v>
      </c>
      <c r="C12">
        <v>1024.8620689655172</v>
      </c>
    </row>
    <row r="13" spans="1:3" x14ac:dyDescent="0.2">
      <c r="A13" t="s">
        <v>314</v>
      </c>
      <c r="B13" t="s">
        <v>324</v>
      </c>
      <c r="C13">
        <v>13550</v>
      </c>
    </row>
    <row r="14" spans="1:3" x14ac:dyDescent="0.2">
      <c r="A14" t="s">
        <v>146</v>
      </c>
      <c r="B14" t="s">
        <v>325</v>
      </c>
      <c r="C14">
        <v>741.0526315789474</v>
      </c>
    </row>
    <row r="15" spans="1:3" x14ac:dyDescent="0.2">
      <c r="A15" t="s">
        <v>147</v>
      </c>
      <c r="B15" t="s">
        <v>326</v>
      </c>
      <c r="C15">
        <v>4000</v>
      </c>
    </row>
    <row r="16" spans="1:3" x14ac:dyDescent="0.2">
      <c r="A16" t="s">
        <v>150</v>
      </c>
      <c r="B16" t="s">
        <v>323</v>
      </c>
      <c r="C16">
        <v>338.40625</v>
      </c>
    </row>
    <row r="17" spans="1:3" x14ac:dyDescent="0.2">
      <c r="A17" t="s">
        <v>151</v>
      </c>
      <c r="B17" t="s">
        <v>323</v>
      </c>
      <c r="C17">
        <v>1544.3924528301886</v>
      </c>
    </row>
    <row r="18" spans="1:3" x14ac:dyDescent="0.2">
      <c r="A18" t="s">
        <v>152</v>
      </c>
      <c r="B18" t="s">
        <v>327</v>
      </c>
      <c r="C18">
        <v>8890.3333333333194</v>
      </c>
    </row>
    <row r="19" spans="1:3" x14ac:dyDescent="0.2">
      <c r="A19" t="s">
        <v>153</v>
      </c>
      <c r="B19" t="s">
        <v>325</v>
      </c>
      <c r="C19">
        <v>592.83333333333337</v>
      </c>
    </row>
    <row r="20" spans="1:3" x14ac:dyDescent="0.2">
      <c r="A20" t="s">
        <v>154</v>
      </c>
      <c r="B20" t="s">
        <v>323</v>
      </c>
      <c r="C20">
        <v>1030.3333333333333</v>
      </c>
    </row>
    <row r="21" spans="1:3" x14ac:dyDescent="0.2">
      <c r="A21" t="s">
        <v>155</v>
      </c>
      <c r="B21" t="s">
        <v>325</v>
      </c>
      <c r="C21">
        <v>712.22181818181821</v>
      </c>
    </row>
    <row r="22" spans="1:3" x14ac:dyDescent="0.2">
      <c r="A22" t="s">
        <v>309</v>
      </c>
      <c r="B22" t="s">
        <v>325</v>
      </c>
      <c r="C22">
        <v>349.5</v>
      </c>
    </row>
    <row r="23" spans="1:3" x14ac:dyDescent="0.2">
      <c r="A23" t="s">
        <v>156</v>
      </c>
      <c r="B23" t="s">
        <v>325</v>
      </c>
      <c r="C23">
        <v>813</v>
      </c>
    </row>
    <row r="24" spans="1:3" x14ac:dyDescent="0.2">
      <c r="A24" t="s">
        <v>157</v>
      </c>
      <c r="B24" t="s">
        <v>325</v>
      </c>
      <c r="C24">
        <v>1073.8</v>
      </c>
    </row>
    <row r="25" spans="1:3" x14ac:dyDescent="0.2">
      <c r="A25" t="s">
        <v>158</v>
      </c>
      <c r="B25" t="s">
        <v>325</v>
      </c>
      <c r="C25">
        <v>354.84210526315792</v>
      </c>
    </row>
    <row r="26" spans="1:3" x14ac:dyDescent="0.2">
      <c r="A26" t="s">
        <v>159</v>
      </c>
      <c r="B26" t="s">
        <v>325</v>
      </c>
      <c r="C26">
        <v>1609.5246376811594</v>
      </c>
    </row>
    <row r="27" spans="1:3" x14ac:dyDescent="0.2">
      <c r="A27" t="s">
        <v>160</v>
      </c>
      <c r="B27" t="s">
        <v>325</v>
      </c>
      <c r="C27">
        <v>281.51333333333332</v>
      </c>
    </row>
    <row r="28" spans="1:3" x14ac:dyDescent="0.2">
      <c r="A28" t="s">
        <v>161</v>
      </c>
      <c r="B28" t="s">
        <v>325</v>
      </c>
      <c r="C28">
        <v>361.53846153846155</v>
      </c>
    </row>
    <row r="29" spans="1:3" x14ac:dyDescent="0.2">
      <c r="A29" t="s">
        <v>162</v>
      </c>
      <c r="B29" t="s">
        <v>325</v>
      </c>
      <c r="C29">
        <v>1635</v>
      </c>
    </row>
    <row r="30" spans="1:3" x14ac:dyDescent="0.2">
      <c r="A30" t="s">
        <v>163</v>
      </c>
      <c r="B30" t="s">
        <v>323</v>
      </c>
      <c r="C30">
        <v>100.69230769230769</v>
      </c>
    </row>
    <row r="31" spans="1:3" x14ac:dyDescent="0.2">
      <c r="A31" t="s">
        <v>164</v>
      </c>
      <c r="B31" t="s">
        <v>323</v>
      </c>
      <c r="C31">
        <v>715.67647058823525</v>
      </c>
    </row>
    <row r="32" spans="1:3" x14ac:dyDescent="0.2">
      <c r="A32" t="s">
        <v>165</v>
      </c>
      <c r="B32" t="s">
        <v>325</v>
      </c>
      <c r="C32">
        <v>1672.2857142857142</v>
      </c>
    </row>
    <row r="33" spans="1:3" x14ac:dyDescent="0.2">
      <c r="A33" t="s">
        <v>167</v>
      </c>
      <c r="B33" t="s">
        <v>323</v>
      </c>
      <c r="C33">
        <v>418.5</v>
      </c>
    </row>
    <row r="34" spans="1:3" x14ac:dyDescent="0.2">
      <c r="A34" t="s">
        <v>168</v>
      </c>
      <c r="B34" t="s">
        <v>323</v>
      </c>
      <c r="C34">
        <v>2163.9166666666665</v>
      </c>
    </row>
    <row r="35" spans="1:3" x14ac:dyDescent="0.2">
      <c r="A35" t="s">
        <v>169</v>
      </c>
      <c r="B35" t="s">
        <v>323</v>
      </c>
      <c r="C35">
        <v>165.25</v>
      </c>
    </row>
    <row r="36" spans="1:3" x14ac:dyDescent="0.2">
      <c r="A36" t="s">
        <v>170</v>
      </c>
      <c r="B36" t="s">
        <v>325</v>
      </c>
      <c r="C36">
        <v>450</v>
      </c>
    </row>
    <row r="37" spans="1:3" x14ac:dyDescent="0.2">
      <c r="A37" t="s">
        <v>318</v>
      </c>
      <c r="B37" t="s">
        <v>325</v>
      </c>
      <c r="C37">
        <v>0</v>
      </c>
    </row>
    <row r="38" spans="1:3" x14ac:dyDescent="0.2">
      <c r="A38" t="s">
        <v>171</v>
      </c>
      <c r="B38" t="s">
        <v>323</v>
      </c>
      <c r="C38">
        <v>1399</v>
      </c>
    </row>
    <row r="39" spans="1:3" x14ac:dyDescent="0.2">
      <c r="A39" t="s">
        <v>319</v>
      </c>
      <c r="B39" t="s">
        <v>325</v>
      </c>
      <c r="C39">
        <v>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42"/>
  <sheetViews>
    <sheetView workbookViewId="0">
      <selection activeCell="C52" sqref="C52"/>
    </sheetView>
  </sheetViews>
  <sheetFormatPr baseColWidth="10" defaultRowHeight="16" x14ac:dyDescent="0.2"/>
  <cols>
    <col min="1" max="1" width="37.83203125" customWidth="1"/>
    <col min="2" max="2" width="33.1640625" customWidth="1"/>
  </cols>
  <sheetData>
    <row r="1" spans="1:3" x14ac:dyDescent="0.2">
      <c r="A1" t="s">
        <v>307</v>
      </c>
      <c r="B1" t="s">
        <v>66</v>
      </c>
      <c r="C1" s="3" t="s">
        <v>310</v>
      </c>
    </row>
    <row r="2" spans="1:3" x14ac:dyDescent="0.2">
      <c r="A2" t="s">
        <v>141</v>
      </c>
      <c r="B2" t="s">
        <v>323</v>
      </c>
      <c r="C2">
        <v>3265.3121212121214</v>
      </c>
    </row>
    <row r="3" spans="1:3" x14ac:dyDescent="0.2">
      <c r="A3" t="s">
        <v>142</v>
      </c>
      <c r="B3" t="s">
        <v>323</v>
      </c>
      <c r="C3">
        <v>483.57142857142856</v>
      </c>
    </row>
    <row r="4" spans="1:3" x14ac:dyDescent="0.2">
      <c r="A4" t="s">
        <v>145</v>
      </c>
      <c r="B4" t="s">
        <v>323</v>
      </c>
      <c r="C4">
        <v>5969.0137931034478</v>
      </c>
    </row>
    <row r="5" spans="1:3" x14ac:dyDescent="0.2">
      <c r="A5" t="s">
        <v>148</v>
      </c>
      <c r="B5" t="s">
        <v>323</v>
      </c>
      <c r="C5">
        <v>885.96470588235297</v>
      </c>
    </row>
    <row r="6" spans="1:3" x14ac:dyDescent="0.2">
      <c r="A6" t="s">
        <v>149</v>
      </c>
      <c r="B6" t="s">
        <v>323</v>
      </c>
      <c r="C6">
        <v>2319.0473684210529</v>
      </c>
    </row>
    <row r="7" spans="1:3" x14ac:dyDescent="0.2">
      <c r="A7" t="s">
        <v>166</v>
      </c>
      <c r="B7" t="s">
        <v>323</v>
      </c>
      <c r="C7">
        <v>1295</v>
      </c>
    </row>
    <row r="8" spans="1:3" x14ac:dyDescent="0.2">
      <c r="A8" t="s">
        <v>139</v>
      </c>
      <c r="B8" t="s">
        <v>323</v>
      </c>
      <c r="C8">
        <v>3333.3333333333335</v>
      </c>
    </row>
    <row r="9" spans="1:3" x14ac:dyDescent="0.2">
      <c r="A9" t="s">
        <v>140</v>
      </c>
      <c r="B9" t="s">
        <v>323</v>
      </c>
      <c r="C9">
        <v>1966.9724137931034</v>
      </c>
    </row>
    <row r="10" spans="1:3" x14ac:dyDescent="0.2">
      <c r="A10" t="s">
        <v>311</v>
      </c>
      <c r="B10" t="s">
        <v>324</v>
      </c>
      <c r="C10">
        <v>250</v>
      </c>
    </row>
    <row r="11" spans="1:3" x14ac:dyDescent="0.2">
      <c r="A11" t="s">
        <v>313</v>
      </c>
      <c r="B11" t="s">
        <v>324</v>
      </c>
      <c r="C11">
        <v>603.4</v>
      </c>
    </row>
    <row r="12" spans="1:3" x14ac:dyDescent="0.2">
      <c r="A12" t="s">
        <v>144</v>
      </c>
      <c r="B12" t="s">
        <v>323</v>
      </c>
      <c r="C12">
        <v>1024.8620689655172</v>
      </c>
    </row>
    <row r="13" spans="1:3" x14ac:dyDescent="0.2">
      <c r="A13" t="s">
        <v>314</v>
      </c>
      <c r="B13" t="s">
        <v>324</v>
      </c>
      <c r="C13">
        <v>13550</v>
      </c>
    </row>
    <row r="14" spans="1:3" x14ac:dyDescent="0.2">
      <c r="A14" t="s">
        <v>146</v>
      </c>
      <c r="B14" t="s">
        <v>325</v>
      </c>
      <c r="C14">
        <v>741.0526315789474</v>
      </c>
    </row>
    <row r="15" spans="1:3" x14ac:dyDescent="0.2">
      <c r="A15" t="s">
        <v>147</v>
      </c>
      <c r="B15" t="s">
        <v>326</v>
      </c>
      <c r="C15">
        <v>4000</v>
      </c>
    </row>
    <row r="16" spans="1:3" x14ac:dyDescent="0.2">
      <c r="A16" t="s">
        <v>150</v>
      </c>
      <c r="B16" t="s">
        <v>323</v>
      </c>
      <c r="C16">
        <v>338.40625</v>
      </c>
    </row>
    <row r="17" spans="1:3" x14ac:dyDescent="0.2">
      <c r="A17" t="s">
        <v>315</v>
      </c>
      <c r="B17" t="s">
        <v>324</v>
      </c>
      <c r="C17">
        <v>11000</v>
      </c>
    </row>
    <row r="18" spans="1:3" x14ac:dyDescent="0.2">
      <c r="A18" t="s">
        <v>316</v>
      </c>
      <c r="B18" t="s">
        <v>326</v>
      </c>
      <c r="C18">
        <v>4500</v>
      </c>
    </row>
    <row r="19" spans="1:3" x14ac:dyDescent="0.2">
      <c r="A19" t="s">
        <v>151</v>
      </c>
      <c r="B19" t="s">
        <v>323</v>
      </c>
      <c r="C19">
        <v>1544.3924528301886</v>
      </c>
    </row>
    <row r="20" spans="1:3" x14ac:dyDescent="0.2">
      <c r="A20" t="s">
        <v>152</v>
      </c>
      <c r="B20" t="s">
        <v>308</v>
      </c>
      <c r="C20">
        <v>8890.3333333333194</v>
      </c>
    </row>
    <row r="21" spans="1:3" x14ac:dyDescent="0.2">
      <c r="A21" t="s">
        <v>153</v>
      </c>
      <c r="B21" t="s">
        <v>325</v>
      </c>
      <c r="C21">
        <v>592.83333333333337</v>
      </c>
    </row>
    <row r="22" spans="1:3" x14ac:dyDescent="0.2">
      <c r="A22" t="s">
        <v>154</v>
      </c>
      <c r="B22" t="s">
        <v>323</v>
      </c>
      <c r="C22">
        <v>1030.3333333333333</v>
      </c>
    </row>
    <row r="23" spans="1:3" x14ac:dyDescent="0.2">
      <c r="A23" t="s">
        <v>155</v>
      </c>
      <c r="B23" t="s">
        <v>325</v>
      </c>
      <c r="C23">
        <v>712.22181818181821</v>
      </c>
    </row>
    <row r="24" spans="1:3" x14ac:dyDescent="0.2">
      <c r="A24" t="s">
        <v>309</v>
      </c>
      <c r="B24" t="s">
        <v>325</v>
      </c>
      <c r="C24">
        <v>349.5</v>
      </c>
    </row>
    <row r="25" spans="1:3" x14ac:dyDescent="0.2">
      <c r="A25" t="s">
        <v>156</v>
      </c>
      <c r="B25" t="s">
        <v>325</v>
      </c>
      <c r="C25">
        <v>813</v>
      </c>
    </row>
    <row r="26" spans="1:3" x14ac:dyDescent="0.2">
      <c r="A26" t="s">
        <v>157</v>
      </c>
      <c r="B26" t="s">
        <v>325</v>
      </c>
      <c r="C26">
        <v>1073.8</v>
      </c>
    </row>
    <row r="27" spans="1:3" x14ac:dyDescent="0.2">
      <c r="A27" t="s">
        <v>158</v>
      </c>
      <c r="B27" t="s">
        <v>325</v>
      </c>
      <c r="C27">
        <v>354.84210526315792</v>
      </c>
    </row>
    <row r="28" spans="1:3" x14ac:dyDescent="0.2">
      <c r="A28" t="s">
        <v>159</v>
      </c>
      <c r="B28" t="s">
        <v>325</v>
      </c>
      <c r="C28">
        <v>1609.5246376811594</v>
      </c>
    </row>
    <row r="29" spans="1:3" x14ac:dyDescent="0.2">
      <c r="A29" t="s">
        <v>160</v>
      </c>
      <c r="B29" t="s">
        <v>325</v>
      </c>
      <c r="C29">
        <v>281.51333333333332</v>
      </c>
    </row>
    <row r="30" spans="1:3" x14ac:dyDescent="0.2">
      <c r="A30" t="s">
        <v>161</v>
      </c>
      <c r="B30" t="s">
        <v>325</v>
      </c>
      <c r="C30">
        <v>361.53846153846155</v>
      </c>
    </row>
    <row r="31" spans="1:3" x14ac:dyDescent="0.2">
      <c r="A31" t="s">
        <v>162</v>
      </c>
      <c r="B31" t="s">
        <v>325</v>
      </c>
      <c r="C31">
        <v>1635</v>
      </c>
    </row>
    <row r="32" spans="1:3" x14ac:dyDescent="0.2">
      <c r="A32" t="s">
        <v>163</v>
      </c>
      <c r="B32" t="s">
        <v>323</v>
      </c>
      <c r="C32">
        <v>100.69230769230769</v>
      </c>
    </row>
    <row r="33" spans="1:3" x14ac:dyDescent="0.2">
      <c r="A33" t="s">
        <v>164</v>
      </c>
      <c r="B33" t="s">
        <v>323</v>
      </c>
      <c r="C33">
        <v>715.67647058823525</v>
      </c>
    </row>
    <row r="34" spans="1:3" x14ac:dyDescent="0.2">
      <c r="A34" t="s">
        <v>165</v>
      </c>
      <c r="B34" t="s">
        <v>325</v>
      </c>
      <c r="C34">
        <v>1672.2857142857142</v>
      </c>
    </row>
    <row r="35" spans="1:3" x14ac:dyDescent="0.2">
      <c r="A35" t="s">
        <v>317</v>
      </c>
      <c r="B35" t="s">
        <v>323</v>
      </c>
      <c r="C35">
        <v>706</v>
      </c>
    </row>
    <row r="36" spans="1:3" x14ac:dyDescent="0.2">
      <c r="A36" t="s">
        <v>167</v>
      </c>
      <c r="B36" t="s">
        <v>323</v>
      </c>
      <c r="C36">
        <v>418.5</v>
      </c>
    </row>
    <row r="37" spans="1:3" x14ac:dyDescent="0.2">
      <c r="A37" t="s">
        <v>168</v>
      </c>
      <c r="B37" t="s">
        <v>323</v>
      </c>
      <c r="C37">
        <v>2163.9166666666665</v>
      </c>
    </row>
    <row r="38" spans="1:3" x14ac:dyDescent="0.2">
      <c r="A38" t="s">
        <v>169</v>
      </c>
      <c r="B38" t="s">
        <v>323</v>
      </c>
      <c r="C38">
        <v>165.25</v>
      </c>
    </row>
    <row r="39" spans="1:3" x14ac:dyDescent="0.2">
      <c r="A39" t="s">
        <v>170</v>
      </c>
      <c r="B39" t="s">
        <v>325</v>
      </c>
      <c r="C39">
        <v>450</v>
      </c>
    </row>
    <row r="40" spans="1:3" x14ac:dyDescent="0.2">
      <c r="A40" t="s">
        <v>318</v>
      </c>
      <c r="B40" t="s">
        <v>325</v>
      </c>
      <c r="C40">
        <v>0</v>
      </c>
    </row>
    <row r="41" spans="1:3" x14ac:dyDescent="0.2">
      <c r="A41" t="s">
        <v>171</v>
      </c>
      <c r="B41" t="s">
        <v>323</v>
      </c>
      <c r="C41">
        <v>1399</v>
      </c>
    </row>
    <row r="42" spans="1:3" x14ac:dyDescent="0.2">
      <c r="A42" t="s">
        <v>319</v>
      </c>
      <c r="B42" s="4" t="s">
        <v>325</v>
      </c>
      <c r="C42">
        <v>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7"/>
  <sheetViews>
    <sheetView tabSelected="1" zoomScale="236" zoomScaleNormal="236" workbookViewId="0">
      <selection activeCell="D8" sqref="D8"/>
    </sheetView>
  </sheetViews>
  <sheetFormatPr baseColWidth="10" defaultRowHeight="16" x14ac:dyDescent="0.2"/>
  <cols>
    <col min="3" max="3" width="21.6640625" customWidth="1"/>
    <col min="4" max="4" width="17.1640625" customWidth="1"/>
    <col min="5" max="5" width="11.83203125" customWidth="1"/>
    <col min="6" max="6" width="18.5" customWidth="1"/>
    <col min="8" max="8" width="20.1640625" customWidth="1"/>
  </cols>
  <sheetData>
    <row r="1" spans="1:8" x14ac:dyDescent="0.2">
      <c r="A1" s="6" t="s">
        <v>203</v>
      </c>
      <c r="B1" s="6" t="s">
        <v>202</v>
      </c>
      <c r="C1" s="6" t="s">
        <v>201</v>
      </c>
      <c r="D1" s="6" t="s">
        <v>204</v>
      </c>
      <c r="E1" s="6" t="s">
        <v>190</v>
      </c>
      <c r="F1" s="6" t="s">
        <v>193</v>
      </c>
      <c r="G1" s="6" t="s">
        <v>192</v>
      </c>
      <c r="H1" s="6" t="s">
        <v>191</v>
      </c>
    </row>
    <row r="2" spans="1:8" x14ac:dyDescent="0.2">
      <c r="A2" s="5" t="s">
        <v>60</v>
      </c>
      <c r="B2" s="5" t="s">
        <v>189</v>
      </c>
      <c r="C2" s="5" t="s">
        <v>188</v>
      </c>
      <c r="D2" s="5">
        <v>1.1000000000000001</v>
      </c>
      <c r="E2" s="5" t="s">
        <v>187</v>
      </c>
      <c r="F2" s="5" t="s">
        <v>200</v>
      </c>
      <c r="G2" s="5" t="s">
        <v>10</v>
      </c>
      <c r="H2" s="5" t="s">
        <v>194</v>
      </c>
    </row>
    <row r="3" spans="1:8" x14ac:dyDescent="0.2">
      <c r="A3" s="5" t="s">
        <v>60</v>
      </c>
      <c r="B3" s="5" t="s">
        <v>186</v>
      </c>
      <c r="C3" s="5" t="s">
        <v>185</v>
      </c>
      <c r="D3" s="5">
        <v>1.1499999999999999</v>
      </c>
      <c r="E3" s="5" t="s">
        <v>184</v>
      </c>
      <c r="F3" s="5" t="s">
        <v>200</v>
      </c>
      <c r="G3" s="5" t="s">
        <v>3</v>
      </c>
      <c r="H3" s="5" t="s">
        <v>195</v>
      </c>
    </row>
    <row r="4" spans="1:8" x14ac:dyDescent="0.2">
      <c r="A4" s="5" t="s">
        <v>60</v>
      </c>
      <c r="B4" s="5" t="s">
        <v>183</v>
      </c>
      <c r="C4" s="5" t="s">
        <v>182</v>
      </c>
      <c r="D4" s="5">
        <v>1.2</v>
      </c>
      <c r="E4" s="5" t="s">
        <v>181</v>
      </c>
      <c r="F4" s="5" t="s">
        <v>200</v>
      </c>
      <c r="G4" s="5" t="s">
        <v>11</v>
      </c>
      <c r="H4" s="5" t="s">
        <v>196</v>
      </c>
    </row>
    <row r="5" spans="1:8" x14ac:dyDescent="0.2">
      <c r="A5" s="5" t="s">
        <v>60</v>
      </c>
      <c r="B5" s="5" t="s">
        <v>180</v>
      </c>
      <c r="C5" s="5" t="s">
        <v>179</v>
      </c>
      <c r="D5" s="5">
        <v>1.2</v>
      </c>
      <c r="E5" s="5" t="s">
        <v>178</v>
      </c>
      <c r="F5" s="5" t="s">
        <v>200</v>
      </c>
      <c r="G5" s="5" t="s">
        <v>22</v>
      </c>
      <c r="H5" s="5" t="s">
        <v>197</v>
      </c>
    </row>
    <row r="6" spans="1:8" x14ac:dyDescent="0.2">
      <c r="A6" s="5" t="s">
        <v>60</v>
      </c>
      <c r="B6" s="5" t="s">
        <v>177</v>
      </c>
      <c r="C6" s="5" t="s">
        <v>176</v>
      </c>
      <c r="D6" s="5">
        <v>1.2</v>
      </c>
      <c r="E6" s="5" t="s">
        <v>175</v>
      </c>
      <c r="F6" s="5" t="s">
        <v>200</v>
      </c>
      <c r="G6" s="5" t="s">
        <v>23</v>
      </c>
      <c r="H6" s="5" t="s">
        <v>198</v>
      </c>
    </row>
    <row r="7" spans="1:8" x14ac:dyDescent="0.2">
      <c r="A7" s="5" t="s">
        <v>60</v>
      </c>
      <c r="B7" s="5" t="s">
        <v>174</v>
      </c>
      <c r="C7" s="5" t="s">
        <v>173</v>
      </c>
      <c r="D7" s="5">
        <v>1.2</v>
      </c>
      <c r="E7" s="5" t="s">
        <v>172</v>
      </c>
      <c r="F7" s="5" t="s">
        <v>200</v>
      </c>
      <c r="G7" s="5" t="s">
        <v>24</v>
      </c>
      <c r="H7" s="5" t="s">
        <v>199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3"/>
  <sheetViews>
    <sheetView zoomScale="276" zoomScaleNormal="276" workbookViewId="0">
      <selection activeCell="H23" sqref="H23"/>
    </sheetView>
  </sheetViews>
  <sheetFormatPr baseColWidth="10" defaultRowHeight="16" x14ac:dyDescent="0.2"/>
  <cols>
    <col min="1" max="2" width="22.33203125" customWidth="1"/>
    <col min="3" max="3" width="22" customWidth="1"/>
  </cols>
  <sheetData>
    <row r="1" spans="1:5" x14ac:dyDescent="0.2">
      <c r="A1" s="6" t="s">
        <v>191</v>
      </c>
      <c r="B1" s="6" t="s">
        <v>219</v>
      </c>
      <c r="C1" s="6" t="s">
        <v>220</v>
      </c>
      <c r="D1" s="6" t="s">
        <v>190</v>
      </c>
      <c r="E1" s="6"/>
    </row>
    <row r="2" spans="1:5" x14ac:dyDescent="0.2">
      <c r="A2" t="s">
        <v>205</v>
      </c>
      <c r="B2" s="4" t="s">
        <v>206</v>
      </c>
      <c r="C2">
        <v>37</v>
      </c>
      <c r="D2" t="s">
        <v>209</v>
      </c>
    </row>
    <row r="3" spans="1:5" x14ac:dyDescent="0.2">
      <c r="A3" t="s">
        <v>205</v>
      </c>
      <c r="B3" t="s">
        <v>207</v>
      </c>
      <c r="C3">
        <v>12.1</v>
      </c>
      <c r="D3" t="s">
        <v>211</v>
      </c>
    </row>
    <row r="4" spans="1:5" x14ac:dyDescent="0.2">
      <c r="A4" t="s">
        <v>205</v>
      </c>
      <c r="B4" t="s">
        <v>208</v>
      </c>
      <c r="C4">
        <v>5.9</v>
      </c>
      <c r="D4" t="s">
        <v>210</v>
      </c>
    </row>
    <row r="5" spans="1:5" x14ac:dyDescent="0.2">
      <c r="A5" t="s">
        <v>205</v>
      </c>
      <c r="B5" t="s">
        <v>221</v>
      </c>
      <c r="C5">
        <v>0</v>
      </c>
    </row>
    <row r="6" spans="1:5" x14ac:dyDescent="0.2">
      <c r="A6" t="s">
        <v>205</v>
      </c>
      <c r="B6" t="s">
        <v>222</v>
      </c>
      <c r="C6">
        <v>-50</v>
      </c>
    </row>
    <row r="7" spans="1:5" x14ac:dyDescent="0.2">
      <c r="A7" t="s">
        <v>205</v>
      </c>
      <c r="B7" t="s">
        <v>212</v>
      </c>
      <c r="C7">
        <v>0</v>
      </c>
    </row>
    <row r="8" spans="1:5" x14ac:dyDescent="0.2">
      <c r="A8" t="s">
        <v>205</v>
      </c>
      <c r="B8" t="s">
        <v>213</v>
      </c>
      <c r="C8">
        <v>0</v>
      </c>
    </row>
    <row r="9" spans="1:5" x14ac:dyDescent="0.2">
      <c r="A9" t="s">
        <v>205</v>
      </c>
      <c r="B9" t="s">
        <v>214</v>
      </c>
      <c r="C9">
        <v>0</v>
      </c>
    </row>
    <row r="10" spans="1:5" x14ac:dyDescent="0.2">
      <c r="A10" t="s">
        <v>205</v>
      </c>
      <c r="B10" t="s">
        <v>215</v>
      </c>
      <c r="C10">
        <v>-13.2</v>
      </c>
    </row>
    <row r="11" spans="1:5" x14ac:dyDescent="0.2">
      <c r="A11" t="s">
        <v>205</v>
      </c>
      <c r="B11" t="s">
        <v>216</v>
      </c>
      <c r="C11">
        <v>4.5</v>
      </c>
    </row>
    <row r="12" spans="1:5" x14ac:dyDescent="0.2">
      <c r="A12" t="s">
        <v>205</v>
      </c>
      <c r="B12" t="s">
        <v>217</v>
      </c>
      <c r="C12">
        <v>-1.6</v>
      </c>
    </row>
    <row r="13" spans="1:5" x14ac:dyDescent="0.2">
      <c r="A13" t="s">
        <v>205</v>
      </c>
      <c r="B13" t="s">
        <v>218</v>
      </c>
      <c r="C13">
        <v>32.799999999999997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0"/>
  <sheetViews>
    <sheetView zoomScale="355" zoomScaleNormal="355" workbookViewId="0">
      <selection activeCell="B13" sqref="B13"/>
    </sheetView>
  </sheetViews>
  <sheetFormatPr baseColWidth="10" defaultRowHeight="16" x14ac:dyDescent="0.2"/>
  <cols>
    <col min="2" max="2" width="19.6640625" customWidth="1"/>
    <col min="3" max="3" width="18" customWidth="1"/>
  </cols>
  <sheetData>
    <row r="1" spans="1:4" x14ac:dyDescent="0.2">
      <c r="A1" s="6" t="s">
        <v>191</v>
      </c>
      <c r="B1" s="6" t="s">
        <v>219</v>
      </c>
      <c r="C1" s="6" t="s">
        <v>225</v>
      </c>
      <c r="D1" s="6" t="s">
        <v>190</v>
      </c>
    </row>
    <row r="2" spans="1:4" x14ac:dyDescent="0.2">
      <c r="A2" t="s">
        <v>224</v>
      </c>
      <c r="B2" s="4" t="s">
        <v>206</v>
      </c>
      <c r="C2">
        <v>37</v>
      </c>
    </row>
    <row r="3" spans="1:4" x14ac:dyDescent="0.2">
      <c r="A3" t="s">
        <v>224</v>
      </c>
      <c r="B3" t="s">
        <v>207</v>
      </c>
      <c r="C3">
        <v>12.1</v>
      </c>
    </row>
    <row r="4" spans="1:4" x14ac:dyDescent="0.2">
      <c r="A4" t="s">
        <v>224</v>
      </c>
      <c r="B4" t="s">
        <v>208</v>
      </c>
      <c r="C4">
        <v>5.9</v>
      </c>
    </row>
    <row r="5" spans="1:4" x14ac:dyDescent="0.2">
      <c r="A5" t="s">
        <v>224</v>
      </c>
      <c r="B5" t="s">
        <v>221</v>
      </c>
      <c r="C5">
        <v>0</v>
      </c>
    </row>
    <row r="6" spans="1:4" x14ac:dyDescent="0.2">
      <c r="A6" t="s">
        <v>224</v>
      </c>
      <c r="B6" t="s">
        <v>222</v>
      </c>
      <c r="C6">
        <v>-50</v>
      </c>
    </row>
    <row r="7" spans="1:4" x14ac:dyDescent="0.2">
      <c r="A7" t="s">
        <v>224</v>
      </c>
      <c r="B7" t="s">
        <v>215</v>
      </c>
      <c r="C7">
        <v>-13.2</v>
      </c>
    </row>
    <row r="8" spans="1:4" x14ac:dyDescent="0.2">
      <c r="A8" t="s">
        <v>224</v>
      </c>
      <c r="B8" t="s">
        <v>216</v>
      </c>
      <c r="C8">
        <v>4.5</v>
      </c>
    </row>
    <row r="9" spans="1:4" x14ac:dyDescent="0.2">
      <c r="A9" t="s">
        <v>224</v>
      </c>
      <c r="B9" t="s">
        <v>217</v>
      </c>
      <c r="C9">
        <v>-1.6</v>
      </c>
    </row>
    <row r="10" spans="1:4" x14ac:dyDescent="0.2">
      <c r="A10" t="s">
        <v>224</v>
      </c>
      <c r="B10" t="s">
        <v>218</v>
      </c>
      <c r="C10">
        <v>32.799999999999997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61"/>
  <sheetViews>
    <sheetView workbookViewId="0">
      <selection activeCell="F2" sqref="F2"/>
    </sheetView>
  </sheetViews>
  <sheetFormatPr baseColWidth="10" defaultRowHeight="16" x14ac:dyDescent="0.2"/>
  <sheetData>
    <row r="1" spans="1:8" x14ac:dyDescent="0.2">
      <c r="A1" t="s">
        <v>357</v>
      </c>
      <c r="B1" t="s">
        <v>358</v>
      </c>
      <c r="C1" t="s">
        <v>359</v>
      </c>
      <c r="D1" t="s">
        <v>360</v>
      </c>
      <c r="E1" t="s">
        <v>361</v>
      </c>
      <c r="F1" t="s">
        <v>362</v>
      </c>
      <c r="G1" t="s">
        <v>363</v>
      </c>
      <c r="H1" t="s">
        <v>364</v>
      </c>
    </row>
    <row r="2" spans="1:8" x14ac:dyDescent="0.2">
      <c r="A2">
        <v>2020</v>
      </c>
      <c r="B2" t="s">
        <v>365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>
        <v>2020</v>
      </c>
      <c r="B3" t="s">
        <v>366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>
        <v>2020</v>
      </c>
      <c r="B4" t="s">
        <v>367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>
        <v>2020</v>
      </c>
      <c r="B5" t="s">
        <v>368</v>
      </c>
      <c r="C5">
        <v>14.725</v>
      </c>
      <c r="D5">
        <v>11.78</v>
      </c>
      <c r="E5">
        <v>12.516249999999999</v>
      </c>
      <c r="F5">
        <v>12.148125</v>
      </c>
      <c r="G5">
        <v>12.884375</v>
      </c>
      <c r="H5">
        <v>11.78</v>
      </c>
    </row>
    <row r="6" spans="1:8" x14ac:dyDescent="0.2">
      <c r="A6">
        <v>2020</v>
      </c>
      <c r="B6" t="s">
        <v>369</v>
      </c>
      <c r="C6">
        <v>29.727499999999999</v>
      </c>
      <c r="D6">
        <v>24.322500000000002</v>
      </c>
      <c r="E6">
        <v>27.024999999999999</v>
      </c>
      <c r="F6">
        <v>25.673749999999998</v>
      </c>
      <c r="G6">
        <v>27.700624999999999</v>
      </c>
      <c r="H6">
        <v>24.322500000000002</v>
      </c>
    </row>
    <row r="7" spans="1:8" x14ac:dyDescent="0.2">
      <c r="A7">
        <v>2020</v>
      </c>
      <c r="B7" t="s">
        <v>370</v>
      </c>
      <c r="C7">
        <v>160.32</v>
      </c>
      <c r="D7">
        <v>143.62</v>
      </c>
      <c r="E7">
        <v>153.63999999999999</v>
      </c>
      <c r="F7">
        <v>146.96</v>
      </c>
      <c r="G7">
        <v>156.97999999999999</v>
      </c>
      <c r="H7">
        <v>143.62</v>
      </c>
    </row>
    <row r="8" spans="1:8" x14ac:dyDescent="0.2">
      <c r="A8">
        <v>2020</v>
      </c>
      <c r="B8" t="s">
        <v>371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">
      <c r="A9">
        <v>2020</v>
      </c>
      <c r="B9" t="s">
        <v>372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>
        <v>2020</v>
      </c>
      <c r="B10" t="s">
        <v>373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">
      <c r="A11">
        <v>2020</v>
      </c>
      <c r="B11" t="s">
        <v>374</v>
      </c>
      <c r="C11">
        <v>15.46125</v>
      </c>
      <c r="D11">
        <v>14.135999999999999</v>
      </c>
      <c r="E11">
        <v>14.725</v>
      </c>
      <c r="F11">
        <v>13.98875</v>
      </c>
      <c r="G11">
        <v>15.093125000000001</v>
      </c>
      <c r="H11">
        <v>14.135999999999999</v>
      </c>
    </row>
    <row r="12" spans="1:8" x14ac:dyDescent="0.2">
      <c r="A12">
        <v>2020</v>
      </c>
      <c r="B12" t="s">
        <v>375</v>
      </c>
      <c r="C12">
        <v>35.1325</v>
      </c>
      <c r="D12">
        <v>29.187000000000001</v>
      </c>
      <c r="E12">
        <v>31.078749999999999</v>
      </c>
      <c r="F12">
        <v>29.727499999999999</v>
      </c>
      <c r="G12">
        <v>33.105625000000003</v>
      </c>
      <c r="H12">
        <v>29.187000000000001</v>
      </c>
    </row>
    <row r="13" spans="1:8" x14ac:dyDescent="0.2">
      <c r="A13">
        <v>2020</v>
      </c>
      <c r="B13" t="s">
        <v>376</v>
      </c>
      <c r="C13">
        <v>193.72</v>
      </c>
      <c r="D13">
        <v>172.34399999999999</v>
      </c>
      <c r="E13">
        <v>173.68</v>
      </c>
      <c r="F13">
        <v>167</v>
      </c>
      <c r="G13">
        <v>183.7</v>
      </c>
      <c r="H13">
        <v>172.34399999999999</v>
      </c>
    </row>
    <row r="14" spans="1:8" x14ac:dyDescent="0.2">
      <c r="A14">
        <v>2025</v>
      </c>
      <c r="B14" t="s">
        <v>365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>
        <v>2025</v>
      </c>
      <c r="B15" t="s">
        <v>366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>
        <v>2025</v>
      </c>
      <c r="B16" t="s">
        <v>367</v>
      </c>
      <c r="C16">
        <v>1.8674999999999999</v>
      </c>
      <c r="D16">
        <v>1.400625</v>
      </c>
      <c r="E16">
        <v>1.5562499999999999</v>
      </c>
      <c r="F16">
        <v>1.4524999999999999</v>
      </c>
      <c r="G16">
        <v>1.6340625</v>
      </c>
      <c r="H16">
        <v>1.400625</v>
      </c>
    </row>
    <row r="17" spans="1:8" x14ac:dyDescent="0.2">
      <c r="A17">
        <v>2025</v>
      </c>
      <c r="B17" t="s">
        <v>368</v>
      </c>
      <c r="C17">
        <v>42.85</v>
      </c>
      <c r="D17">
        <v>34.28</v>
      </c>
      <c r="E17">
        <v>36.422499999999999</v>
      </c>
      <c r="F17">
        <v>35.35125</v>
      </c>
      <c r="G17">
        <v>37.493749999999999</v>
      </c>
      <c r="H17">
        <v>34.28</v>
      </c>
    </row>
    <row r="18" spans="1:8" x14ac:dyDescent="0.2">
      <c r="A18">
        <v>2025</v>
      </c>
      <c r="B18" t="s">
        <v>369</v>
      </c>
      <c r="C18">
        <v>74.992500000000007</v>
      </c>
      <c r="D18">
        <v>61.357500000000002</v>
      </c>
      <c r="E18">
        <v>68.174999999999997</v>
      </c>
      <c r="F18">
        <v>64.766249999999999</v>
      </c>
      <c r="G18">
        <v>69.879374999999996</v>
      </c>
      <c r="H18">
        <v>61.357500000000002</v>
      </c>
    </row>
    <row r="19" spans="1:8" x14ac:dyDescent="0.2">
      <c r="A19">
        <v>2025</v>
      </c>
      <c r="B19" t="s">
        <v>370</v>
      </c>
      <c r="C19">
        <v>266.27999999999997</v>
      </c>
      <c r="D19">
        <v>238.54249999999999</v>
      </c>
      <c r="E19">
        <v>255.185</v>
      </c>
      <c r="F19">
        <v>244.09</v>
      </c>
      <c r="G19">
        <v>260.73250000000002</v>
      </c>
      <c r="H19">
        <v>238.54249999999999</v>
      </c>
    </row>
    <row r="20" spans="1:8" x14ac:dyDescent="0.2">
      <c r="A20">
        <v>2025</v>
      </c>
      <c r="B20" t="s">
        <v>371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">
      <c r="A21">
        <v>2025</v>
      </c>
      <c r="B21" t="s">
        <v>372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">
      <c r="A22">
        <v>2025</v>
      </c>
      <c r="B22" t="s">
        <v>373</v>
      </c>
      <c r="C22">
        <v>2.0231249999999998</v>
      </c>
      <c r="D22">
        <v>1.68075</v>
      </c>
      <c r="E22">
        <v>1.7637499999999999</v>
      </c>
      <c r="F22">
        <v>1.66</v>
      </c>
      <c r="G22">
        <v>1.8415625</v>
      </c>
      <c r="H22">
        <v>1.68075</v>
      </c>
    </row>
    <row r="23" spans="1:8" x14ac:dyDescent="0.2">
      <c r="A23">
        <v>2025</v>
      </c>
      <c r="B23" t="s">
        <v>374</v>
      </c>
      <c r="C23">
        <v>44.9925</v>
      </c>
      <c r="D23">
        <v>41.136000000000003</v>
      </c>
      <c r="E23">
        <v>42.85</v>
      </c>
      <c r="F23">
        <v>40.707500000000003</v>
      </c>
      <c r="G23">
        <v>43.921250000000001</v>
      </c>
      <c r="H23">
        <v>41.136000000000003</v>
      </c>
    </row>
    <row r="24" spans="1:8" x14ac:dyDescent="0.2">
      <c r="A24">
        <v>2025</v>
      </c>
      <c r="B24" t="s">
        <v>375</v>
      </c>
      <c r="C24">
        <v>88.627499999999998</v>
      </c>
      <c r="D24">
        <v>73.629000000000005</v>
      </c>
      <c r="E24">
        <v>78.401250000000005</v>
      </c>
      <c r="F24">
        <v>74.992500000000007</v>
      </c>
      <c r="G24">
        <v>83.514375000000001</v>
      </c>
      <c r="H24">
        <v>73.629000000000005</v>
      </c>
    </row>
    <row r="25" spans="1:8" x14ac:dyDescent="0.2">
      <c r="A25">
        <v>2025</v>
      </c>
      <c r="B25" t="s">
        <v>376</v>
      </c>
      <c r="C25">
        <v>321.755</v>
      </c>
      <c r="D25">
        <v>286.25099999999998</v>
      </c>
      <c r="E25">
        <v>288.47000000000003</v>
      </c>
      <c r="F25">
        <v>277.375</v>
      </c>
      <c r="G25">
        <v>305.11250000000001</v>
      </c>
      <c r="H25">
        <v>286.25099999999998</v>
      </c>
    </row>
    <row r="26" spans="1:8" x14ac:dyDescent="0.2">
      <c r="A26">
        <v>2030</v>
      </c>
      <c r="B26" t="s">
        <v>365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">
      <c r="A27">
        <v>2030</v>
      </c>
      <c r="B27" t="s">
        <v>366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">
      <c r="A28">
        <v>2030</v>
      </c>
      <c r="B28" t="s">
        <v>367</v>
      </c>
      <c r="C28">
        <v>20.835000000000001</v>
      </c>
      <c r="D28">
        <v>15.626250000000001</v>
      </c>
      <c r="E28">
        <v>17.362500000000001</v>
      </c>
      <c r="F28">
        <v>16.204999999999998</v>
      </c>
      <c r="G28">
        <v>18.230625</v>
      </c>
      <c r="H28">
        <v>15.626250000000001</v>
      </c>
    </row>
    <row r="29" spans="1:8" x14ac:dyDescent="0.2">
      <c r="A29">
        <v>2030</v>
      </c>
      <c r="B29" t="s">
        <v>368</v>
      </c>
      <c r="C29">
        <v>66.95</v>
      </c>
      <c r="D29">
        <v>53.56</v>
      </c>
      <c r="E29">
        <v>56.907499999999999</v>
      </c>
      <c r="F29">
        <v>55.233750000000001</v>
      </c>
      <c r="G29">
        <v>58.581249999999997</v>
      </c>
      <c r="H29">
        <v>53.56</v>
      </c>
    </row>
    <row r="30" spans="1:8" x14ac:dyDescent="0.2">
      <c r="A30">
        <v>2030</v>
      </c>
      <c r="B30" t="s">
        <v>369</v>
      </c>
      <c r="C30">
        <v>101.58499999999999</v>
      </c>
      <c r="D30">
        <v>83.114999999999995</v>
      </c>
      <c r="E30">
        <v>92.35</v>
      </c>
      <c r="F30">
        <v>87.732500000000002</v>
      </c>
      <c r="G30">
        <v>94.658749999999998</v>
      </c>
      <c r="H30">
        <v>83.114999999999995</v>
      </c>
    </row>
    <row r="31" spans="1:8" x14ac:dyDescent="0.2">
      <c r="A31">
        <v>2030</v>
      </c>
      <c r="B31" t="s">
        <v>370</v>
      </c>
      <c r="C31">
        <v>323.64</v>
      </c>
      <c r="D31">
        <v>289.92750000000001</v>
      </c>
      <c r="E31">
        <v>310.15499999999997</v>
      </c>
      <c r="F31">
        <v>296.67</v>
      </c>
      <c r="G31">
        <v>316.89749999999998</v>
      </c>
      <c r="H31">
        <v>289.92750000000001</v>
      </c>
    </row>
    <row r="32" spans="1:8" x14ac:dyDescent="0.2">
      <c r="A32">
        <v>2030</v>
      </c>
      <c r="B32" t="s">
        <v>371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">
      <c r="A33">
        <v>2030</v>
      </c>
      <c r="B33" t="s">
        <v>372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">
      <c r="A34">
        <v>2030</v>
      </c>
      <c r="B34" t="s">
        <v>373</v>
      </c>
      <c r="C34">
        <v>22.571249999999999</v>
      </c>
      <c r="D34">
        <v>18.7515</v>
      </c>
      <c r="E34">
        <v>19.677499999999998</v>
      </c>
      <c r="F34">
        <v>18.52</v>
      </c>
      <c r="G34">
        <v>20.545625000000001</v>
      </c>
      <c r="H34">
        <v>18.7515</v>
      </c>
    </row>
    <row r="35" spans="1:8" x14ac:dyDescent="0.2">
      <c r="A35">
        <v>2030</v>
      </c>
      <c r="B35" t="s">
        <v>374</v>
      </c>
      <c r="C35">
        <v>70.297499999999999</v>
      </c>
      <c r="D35">
        <v>64.272000000000006</v>
      </c>
      <c r="E35">
        <v>66.95</v>
      </c>
      <c r="F35">
        <v>63.602499999999999</v>
      </c>
      <c r="G35">
        <v>68.623750000000001</v>
      </c>
      <c r="H35">
        <v>64.272000000000006</v>
      </c>
    </row>
    <row r="36" spans="1:8" x14ac:dyDescent="0.2">
      <c r="A36">
        <v>2030</v>
      </c>
      <c r="B36" t="s">
        <v>375</v>
      </c>
      <c r="C36">
        <v>120.05500000000001</v>
      </c>
      <c r="D36">
        <v>99.738</v>
      </c>
      <c r="E36">
        <v>106.2025</v>
      </c>
      <c r="F36">
        <v>101.58499999999999</v>
      </c>
      <c r="G36">
        <v>113.12875</v>
      </c>
      <c r="H36">
        <v>99.738</v>
      </c>
    </row>
    <row r="37" spans="1:8" x14ac:dyDescent="0.2">
      <c r="A37">
        <v>2030</v>
      </c>
      <c r="B37" t="s">
        <v>376</v>
      </c>
      <c r="C37">
        <v>391.065</v>
      </c>
      <c r="D37">
        <v>347.91300000000001</v>
      </c>
      <c r="E37">
        <v>350.61</v>
      </c>
      <c r="F37">
        <v>337.125</v>
      </c>
      <c r="G37">
        <v>370.83749999999998</v>
      </c>
      <c r="H37">
        <v>347.91300000000001</v>
      </c>
    </row>
    <row r="38" spans="1:8" x14ac:dyDescent="0.2">
      <c r="A38">
        <v>2035</v>
      </c>
      <c r="B38" t="s">
        <v>365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">
      <c r="A39">
        <v>2035</v>
      </c>
      <c r="B39" t="s">
        <v>366</v>
      </c>
      <c r="C39">
        <v>10.740625</v>
      </c>
      <c r="D39">
        <v>7.0581250000000004</v>
      </c>
      <c r="E39">
        <v>7.9787499999999998</v>
      </c>
      <c r="F39">
        <v>7.3650000000000002</v>
      </c>
      <c r="G39">
        <v>8.5924999999999994</v>
      </c>
      <c r="H39">
        <v>7.0581250000000004</v>
      </c>
    </row>
    <row r="40" spans="1:8" x14ac:dyDescent="0.2">
      <c r="A40">
        <v>2035</v>
      </c>
      <c r="B40" t="s">
        <v>367</v>
      </c>
      <c r="C40">
        <v>41.67</v>
      </c>
      <c r="D40">
        <v>31.252500000000001</v>
      </c>
      <c r="E40">
        <v>34.725000000000001</v>
      </c>
      <c r="F40">
        <v>32.409999999999997</v>
      </c>
      <c r="G40">
        <v>36.46125</v>
      </c>
      <c r="H40">
        <v>31.252500000000001</v>
      </c>
    </row>
    <row r="41" spans="1:8" x14ac:dyDescent="0.2">
      <c r="A41">
        <v>2035</v>
      </c>
      <c r="B41" t="s">
        <v>368</v>
      </c>
      <c r="C41">
        <v>89.85</v>
      </c>
      <c r="D41">
        <v>71.88</v>
      </c>
      <c r="E41">
        <v>76.372500000000002</v>
      </c>
      <c r="F41">
        <v>74.126249999999999</v>
      </c>
      <c r="G41">
        <v>78.618750000000006</v>
      </c>
      <c r="H41">
        <v>71.88</v>
      </c>
    </row>
    <row r="42" spans="1:8" x14ac:dyDescent="0.2">
      <c r="A42">
        <v>2035</v>
      </c>
      <c r="B42" t="s">
        <v>369</v>
      </c>
      <c r="C42">
        <v>122.65</v>
      </c>
      <c r="D42">
        <v>100.35</v>
      </c>
      <c r="E42">
        <v>111.5</v>
      </c>
      <c r="F42">
        <v>105.925</v>
      </c>
      <c r="G42">
        <v>114.28749999999999</v>
      </c>
      <c r="H42">
        <v>100.35</v>
      </c>
    </row>
    <row r="43" spans="1:8" x14ac:dyDescent="0.2">
      <c r="A43">
        <v>2035</v>
      </c>
      <c r="B43" t="s">
        <v>370</v>
      </c>
      <c r="C43">
        <v>385.2</v>
      </c>
      <c r="D43">
        <v>345.07499999999999</v>
      </c>
      <c r="E43">
        <v>369.15</v>
      </c>
      <c r="F43">
        <v>353.1</v>
      </c>
      <c r="G43">
        <v>377.17500000000001</v>
      </c>
      <c r="H43">
        <v>345.07499999999999</v>
      </c>
    </row>
    <row r="44" spans="1:8" x14ac:dyDescent="0.2">
      <c r="A44">
        <v>2035</v>
      </c>
      <c r="B44" t="s">
        <v>371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">
      <c r="A45">
        <v>2035</v>
      </c>
      <c r="B45" t="s">
        <v>372</v>
      </c>
      <c r="C45">
        <v>11.354374999999999</v>
      </c>
      <c r="D45">
        <v>8.4697499999999994</v>
      </c>
      <c r="E45">
        <v>9.2062500000000007</v>
      </c>
      <c r="F45">
        <v>8.5924999999999994</v>
      </c>
      <c r="G45">
        <v>9.6665624999999995</v>
      </c>
      <c r="H45">
        <v>8.4697499999999994</v>
      </c>
    </row>
    <row r="46" spans="1:8" x14ac:dyDescent="0.2">
      <c r="A46">
        <v>2035</v>
      </c>
      <c r="B46" t="s">
        <v>373</v>
      </c>
      <c r="C46">
        <v>45.142499999999998</v>
      </c>
      <c r="D46">
        <v>37.503</v>
      </c>
      <c r="E46">
        <v>39.354999999999997</v>
      </c>
      <c r="F46">
        <v>37.04</v>
      </c>
      <c r="G46">
        <v>41.091250000000002</v>
      </c>
      <c r="H46">
        <v>37.503</v>
      </c>
    </row>
    <row r="47" spans="1:8" x14ac:dyDescent="0.2">
      <c r="A47">
        <v>2035</v>
      </c>
      <c r="B47" t="s">
        <v>374</v>
      </c>
      <c r="C47">
        <v>94.342500000000001</v>
      </c>
      <c r="D47">
        <v>86.256</v>
      </c>
      <c r="E47">
        <v>89.85</v>
      </c>
      <c r="F47">
        <v>85.357500000000002</v>
      </c>
      <c r="G47">
        <v>92.096249999999998</v>
      </c>
      <c r="H47">
        <v>86.256</v>
      </c>
    </row>
    <row r="48" spans="1:8" x14ac:dyDescent="0.2">
      <c r="A48">
        <v>2035</v>
      </c>
      <c r="B48" t="s">
        <v>375</v>
      </c>
      <c r="C48">
        <v>144.94999999999999</v>
      </c>
      <c r="D48">
        <v>120.42</v>
      </c>
      <c r="E48">
        <v>128.22499999999999</v>
      </c>
      <c r="F48">
        <v>122.65</v>
      </c>
      <c r="G48">
        <v>136.58750000000001</v>
      </c>
      <c r="H48">
        <v>120.42</v>
      </c>
    </row>
    <row r="49" spans="1:8" x14ac:dyDescent="0.2">
      <c r="A49">
        <v>2035</v>
      </c>
      <c r="B49" t="s">
        <v>376</v>
      </c>
      <c r="C49">
        <v>465.45</v>
      </c>
      <c r="D49">
        <v>414.09</v>
      </c>
      <c r="E49">
        <v>417.3</v>
      </c>
      <c r="F49">
        <v>401.25</v>
      </c>
      <c r="G49">
        <v>441.375</v>
      </c>
      <c r="H49">
        <v>414.09</v>
      </c>
    </row>
    <row r="50" spans="1:8" x14ac:dyDescent="0.2">
      <c r="A50">
        <v>2040</v>
      </c>
      <c r="B50" t="s">
        <v>365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">
      <c r="A51">
        <v>2040</v>
      </c>
      <c r="B51" t="s">
        <v>366</v>
      </c>
      <c r="C51">
        <v>22.574999999999999</v>
      </c>
      <c r="D51">
        <v>14.835000000000001</v>
      </c>
      <c r="E51">
        <v>16.77</v>
      </c>
      <c r="F51">
        <v>15.48</v>
      </c>
      <c r="G51">
        <v>18.059999999999999</v>
      </c>
      <c r="H51">
        <v>14.835000000000001</v>
      </c>
    </row>
    <row r="52" spans="1:8" x14ac:dyDescent="0.2">
      <c r="A52">
        <v>2040</v>
      </c>
      <c r="B52" t="s">
        <v>367</v>
      </c>
      <c r="C52">
        <v>61.717500000000001</v>
      </c>
      <c r="D52">
        <v>46.288125000000001</v>
      </c>
      <c r="E52">
        <v>51.431249999999999</v>
      </c>
      <c r="F52">
        <v>48.002499999999998</v>
      </c>
      <c r="G52">
        <v>54.002812499999997</v>
      </c>
      <c r="H52">
        <v>46.288125000000001</v>
      </c>
    </row>
    <row r="53" spans="1:8" x14ac:dyDescent="0.2">
      <c r="A53">
        <v>2040</v>
      </c>
      <c r="B53" t="s">
        <v>368</v>
      </c>
      <c r="C53">
        <v>112.1</v>
      </c>
      <c r="D53">
        <v>89.68</v>
      </c>
      <c r="E53">
        <v>95.284999999999997</v>
      </c>
      <c r="F53">
        <v>92.482500000000002</v>
      </c>
      <c r="G53">
        <v>98.087500000000006</v>
      </c>
      <c r="H53">
        <v>89.68</v>
      </c>
    </row>
    <row r="54" spans="1:8" x14ac:dyDescent="0.2">
      <c r="A54">
        <v>2040</v>
      </c>
      <c r="B54" t="s">
        <v>369</v>
      </c>
      <c r="C54">
        <v>162.41499999999999</v>
      </c>
      <c r="D54">
        <v>132.88499999999999</v>
      </c>
      <c r="E54">
        <v>147.65</v>
      </c>
      <c r="F54">
        <v>140.26750000000001</v>
      </c>
      <c r="G54">
        <v>151.34125</v>
      </c>
      <c r="H54">
        <v>132.88499999999999</v>
      </c>
    </row>
    <row r="55" spans="1:8" x14ac:dyDescent="0.2">
      <c r="A55">
        <v>2040</v>
      </c>
      <c r="B55" t="s">
        <v>370</v>
      </c>
      <c r="C55">
        <v>446.76</v>
      </c>
      <c r="D55">
        <v>400.22250000000003</v>
      </c>
      <c r="E55">
        <v>428.14499999999998</v>
      </c>
      <c r="F55">
        <v>409.53</v>
      </c>
      <c r="G55">
        <v>437.45249999999999</v>
      </c>
      <c r="H55">
        <v>400.22250000000003</v>
      </c>
    </row>
    <row r="56" spans="1:8" x14ac:dyDescent="0.2">
      <c r="A56">
        <v>2040</v>
      </c>
      <c r="B56" t="s">
        <v>371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">
      <c r="A57">
        <v>2040</v>
      </c>
      <c r="B57" t="s">
        <v>372</v>
      </c>
      <c r="C57">
        <v>23.864999999999998</v>
      </c>
      <c r="D57">
        <v>17.802</v>
      </c>
      <c r="E57">
        <v>19.350000000000001</v>
      </c>
      <c r="F57">
        <v>18.059999999999999</v>
      </c>
      <c r="G57">
        <v>20.317499999999999</v>
      </c>
      <c r="H57">
        <v>17.802</v>
      </c>
    </row>
    <row r="58" spans="1:8" x14ac:dyDescent="0.2">
      <c r="A58">
        <v>2040</v>
      </c>
      <c r="B58" t="s">
        <v>373</v>
      </c>
      <c r="C58">
        <v>66.860624999999999</v>
      </c>
      <c r="D58">
        <v>55.545749999999998</v>
      </c>
      <c r="E58">
        <v>58.28875</v>
      </c>
      <c r="F58">
        <v>54.86</v>
      </c>
      <c r="G58">
        <v>60.860312499999999</v>
      </c>
      <c r="H58">
        <v>55.545749999999998</v>
      </c>
    </row>
    <row r="59" spans="1:8" x14ac:dyDescent="0.2">
      <c r="A59">
        <v>2040</v>
      </c>
      <c r="B59" t="s">
        <v>374</v>
      </c>
      <c r="C59">
        <v>117.705</v>
      </c>
      <c r="D59">
        <v>107.616</v>
      </c>
      <c r="E59">
        <v>112.1</v>
      </c>
      <c r="F59">
        <v>106.495</v>
      </c>
      <c r="G59">
        <v>114.9025</v>
      </c>
      <c r="H59">
        <v>107.616</v>
      </c>
    </row>
    <row r="60" spans="1:8" x14ac:dyDescent="0.2">
      <c r="A60">
        <v>2040</v>
      </c>
      <c r="B60" t="s">
        <v>375</v>
      </c>
      <c r="C60">
        <v>191.94499999999999</v>
      </c>
      <c r="D60">
        <v>159.46199999999999</v>
      </c>
      <c r="E60">
        <v>169.79750000000001</v>
      </c>
      <c r="F60">
        <v>162.41499999999999</v>
      </c>
      <c r="G60">
        <v>180.87125</v>
      </c>
      <c r="H60">
        <v>159.46199999999999</v>
      </c>
    </row>
    <row r="61" spans="1:8" x14ac:dyDescent="0.2">
      <c r="A61">
        <v>2040</v>
      </c>
      <c r="B61" t="s">
        <v>376</v>
      </c>
      <c r="C61">
        <v>539.83500000000004</v>
      </c>
      <c r="D61">
        <v>480.267</v>
      </c>
      <c r="E61">
        <v>483.99</v>
      </c>
      <c r="F61">
        <v>465.375</v>
      </c>
      <c r="G61">
        <v>511.91250000000002</v>
      </c>
      <c r="H61">
        <v>480.267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61"/>
  <sheetViews>
    <sheetView workbookViewId="0">
      <selection activeCell="J29" sqref="J29"/>
    </sheetView>
  </sheetViews>
  <sheetFormatPr baseColWidth="10" defaultRowHeight="16" x14ac:dyDescent="0.2"/>
  <sheetData>
    <row r="1" spans="1:5" x14ac:dyDescent="0.2">
      <c r="A1" t="s">
        <v>5</v>
      </c>
      <c r="B1" t="s">
        <v>192</v>
      </c>
      <c r="C1" t="s">
        <v>245</v>
      </c>
      <c r="D1" t="s">
        <v>246</v>
      </c>
      <c r="E1" t="s">
        <v>247</v>
      </c>
    </row>
    <row r="2" spans="1:5" x14ac:dyDescent="0.2">
      <c r="A2">
        <v>2020</v>
      </c>
      <c r="B2" t="s">
        <v>10</v>
      </c>
      <c r="C2">
        <v>30</v>
      </c>
      <c r="D2">
        <v>10</v>
      </c>
      <c r="E2">
        <v>20</v>
      </c>
    </row>
    <row r="3" spans="1:5" x14ac:dyDescent="0.2">
      <c r="A3">
        <v>2020</v>
      </c>
      <c r="B3" t="s">
        <v>3</v>
      </c>
      <c r="C3">
        <v>40</v>
      </c>
      <c r="D3">
        <v>10</v>
      </c>
      <c r="E3">
        <v>25</v>
      </c>
    </row>
    <row r="4" spans="1:5" x14ac:dyDescent="0.2">
      <c r="A4">
        <v>2020</v>
      </c>
      <c r="B4" t="s">
        <v>11</v>
      </c>
      <c r="C4">
        <v>60</v>
      </c>
      <c r="D4">
        <v>10</v>
      </c>
      <c r="E4">
        <v>30</v>
      </c>
    </row>
    <row r="5" spans="1:5" x14ac:dyDescent="0.2">
      <c r="A5">
        <v>2020</v>
      </c>
      <c r="B5" t="s">
        <v>22</v>
      </c>
      <c r="C5">
        <v>70</v>
      </c>
      <c r="D5">
        <v>10</v>
      </c>
      <c r="E5">
        <v>35</v>
      </c>
    </row>
    <row r="6" spans="1:5" x14ac:dyDescent="0.2">
      <c r="A6">
        <v>2020</v>
      </c>
      <c r="B6" t="s">
        <v>23</v>
      </c>
      <c r="C6">
        <v>90</v>
      </c>
      <c r="D6">
        <v>10</v>
      </c>
      <c r="E6">
        <v>40</v>
      </c>
    </row>
    <row r="7" spans="1:5" x14ac:dyDescent="0.2">
      <c r="A7">
        <v>2020</v>
      </c>
      <c r="B7" t="s">
        <v>24</v>
      </c>
      <c r="C7">
        <v>100</v>
      </c>
      <c r="D7">
        <v>10</v>
      </c>
      <c r="E7">
        <v>45</v>
      </c>
    </row>
    <row r="8" spans="1:5" x14ac:dyDescent="0.2">
      <c r="A8">
        <v>2020</v>
      </c>
      <c r="B8" t="s">
        <v>189</v>
      </c>
      <c r="C8">
        <v>30</v>
      </c>
      <c r="D8">
        <v>10</v>
      </c>
      <c r="E8">
        <v>20</v>
      </c>
    </row>
    <row r="9" spans="1:5" x14ac:dyDescent="0.2">
      <c r="A9">
        <v>2020</v>
      </c>
      <c r="B9" t="s">
        <v>186</v>
      </c>
      <c r="C9">
        <v>40</v>
      </c>
      <c r="D9">
        <v>10</v>
      </c>
      <c r="E9">
        <v>25</v>
      </c>
    </row>
    <row r="10" spans="1:5" x14ac:dyDescent="0.2">
      <c r="A10">
        <v>2020</v>
      </c>
      <c r="B10" t="s">
        <v>183</v>
      </c>
      <c r="C10">
        <v>60</v>
      </c>
      <c r="D10">
        <v>10</v>
      </c>
      <c r="E10">
        <v>30</v>
      </c>
    </row>
    <row r="11" spans="1:5" x14ac:dyDescent="0.2">
      <c r="A11">
        <v>2020</v>
      </c>
      <c r="B11" t="s">
        <v>180</v>
      </c>
      <c r="C11">
        <v>70</v>
      </c>
      <c r="D11">
        <v>10</v>
      </c>
      <c r="E11">
        <v>35</v>
      </c>
    </row>
    <row r="12" spans="1:5" x14ac:dyDescent="0.2">
      <c r="A12">
        <v>2020</v>
      </c>
      <c r="B12" t="s">
        <v>177</v>
      </c>
      <c r="C12">
        <v>90</v>
      </c>
      <c r="D12">
        <v>10</v>
      </c>
      <c r="E12">
        <v>40</v>
      </c>
    </row>
    <row r="13" spans="1:5" x14ac:dyDescent="0.2">
      <c r="A13">
        <v>2020</v>
      </c>
      <c r="B13" t="s">
        <v>174</v>
      </c>
      <c r="C13">
        <v>100</v>
      </c>
      <c r="D13">
        <v>10</v>
      </c>
      <c r="E13">
        <v>45</v>
      </c>
    </row>
    <row r="14" spans="1:5" x14ac:dyDescent="0.2">
      <c r="A14">
        <v>2025</v>
      </c>
      <c r="B14" t="s">
        <v>10</v>
      </c>
      <c r="C14">
        <v>0</v>
      </c>
      <c r="D14">
        <v>11</v>
      </c>
      <c r="E14">
        <v>20</v>
      </c>
    </row>
    <row r="15" spans="1:5" x14ac:dyDescent="0.2">
      <c r="A15">
        <v>2025</v>
      </c>
      <c r="B15" t="s">
        <v>3</v>
      </c>
      <c r="C15">
        <v>0</v>
      </c>
      <c r="D15">
        <v>11</v>
      </c>
      <c r="E15">
        <v>25</v>
      </c>
    </row>
    <row r="16" spans="1:5" x14ac:dyDescent="0.2">
      <c r="A16">
        <v>2025</v>
      </c>
      <c r="B16" t="s">
        <v>11</v>
      </c>
      <c r="C16">
        <v>1.8674999999999999</v>
      </c>
      <c r="D16">
        <v>11</v>
      </c>
      <c r="E16">
        <v>30</v>
      </c>
    </row>
    <row r="17" spans="1:5" x14ac:dyDescent="0.2">
      <c r="A17">
        <v>2025</v>
      </c>
      <c r="B17" t="s">
        <v>22</v>
      </c>
      <c r="C17">
        <v>42.85</v>
      </c>
      <c r="D17">
        <v>11</v>
      </c>
      <c r="E17">
        <v>35</v>
      </c>
    </row>
    <row r="18" spans="1:5" x14ac:dyDescent="0.2">
      <c r="A18">
        <v>2025</v>
      </c>
      <c r="B18" t="s">
        <v>23</v>
      </c>
      <c r="C18">
        <v>74.992500000000007</v>
      </c>
      <c r="D18">
        <v>11</v>
      </c>
      <c r="E18">
        <v>40</v>
      </c>
    </row>
    <row r="19" spans="1:5" x14ac:dyDescent="0.2">
      <c r="A19">
        <v>2025</v>
      </c>
      <c r="B19" t="s">
        <v>24</v>
      </c>
      <c r="C19">
        <v>133.13999999999999</v>
      </c>
      <c r="D19">
        <v>11</v>
      </c>
      <c r="E19">
        <v>45</v>
      </c>
    </row>
    <row r="20" spans="1:5" x14ac:dyDescent="0.2">
      <c r="A20">
        <v>2025</v>
      </c>
      <c r="B20" t="s">
        <v>189</v>
      </c>
      <c r="C20">
        <v>0</v>
      </c>
      <c r="D20">
        <v>11</v>
      </c>
      <c r="E20">
        <v>20</v>
      </c>
    </row>
    <row r="21" spans="1:5" x14ac:dyDescent="0.2">
      <c r="A21">
        <v>2025</v>
      </c>
      <c r="B21" t="s">
        <v>186</v>
      </c>
      <c r="C21">
        <v>0</v>
      </c>
      <c r="D21">
        <v>11</v>
      </c>
      <c r="E21">
        <v>25</v>
      </c>
    </row>
    <row r="22" spans="1:5" x14ac:dyDescent="0.2">
      <c r="A22">
        <v>2025</v>
      </c>
      <c r="B22" t="s">
        <v>183</v>
      </c>
      <c r="C22">
        <v>2.0231249999999998</v>
      </c>
      <c r="D22">
        <v>11</v>
      </c>
      <c r="E22">
        <v>30</v>
      </c>
    </row>
    <row r="23" spans="1:5" x14ac:dyDescent="0.2">
      <c r="A23">
        <v>2025</v>
      </c>
      <c r="B23" t="s">
        <v>180</v>
      </c>
      <c r="C23">
        <v>44.9925</v>
      </c>
      <c r="D23">
        <v>11</v>
      </c>
      <c r="E23">
        <v>35</v>
      </c>
    </row>
    <row r="24" spans="1:5" x14ac:dyDescent="0.2">
      <c r="A24">
        <v>2025</v>
      </c>
      <c r="B24" t="s">
        <v>177</v>
      </c>
      <c r="C24">
        <v>88.627499999999998</v>
      </c>
      <c r="D24">
        <v>11</v>
      </c>
      <c r="E24">
        <v>40</v>
      </c>
    </row>
    <row r="25" spans="1:5" x14ac:dyDescent="0.2">
      <c r="A25">
        <v>2025</v>
      </c>
      <c r="B25" t="s">
        <v>174</v>
      </c>
      <c r="C25">
        <v>160.8775</v>
      </c>
      <c r="D25">
        <v>11</v>
      </c>
      <c r="E25">
        <v>45</v>
      </c>
    </row>
    <row r="26" spans="1:5" x14ac:dyDescent="0.2">
      <c r="A26">
        <v>2030</v>
      </c>
      <c r="B26" t="s">
        <v>10</v>
      </c>
      <c r="C26">
        <v>0</v>
      </c>
      <c r="D26">
        <v>12</v>
      </c>
      <c r="E26">
        <v>20</v>
      </c>
    </row>
    <row r="27" spans="1:5" x14ac:dyDescent="0.2">
      <c r="A27">
        <v>2030</v>
      </c>
      <c r="B27" t="s">
        <v>3</v>
      </c>
      <c r="C27">
        <v>0</v>
      </c>
      <c r="D27">
        <v>12</v>
      </c>
      <c r="E27">
        <v>25</v>
      </c>
    </row>
    <row r="28" spans="1:5" x14ac:dyDescent="0.2">
      <c r="A28">
        <v>2030</v>
      </c>
      <c r="B28" t="s">
        <v>11</v>
      </c>
      <c r="C28">
        <v>20.835000000000001</v>
      </c>
      <c r="D28">
        <v>12</v>
      </c>
      <c r="E28">
        <v>30</v>
      </c>
    </row>
    <row r="29" spans="1:5" x14ac:dyDescent="0.2">
      <c r="A29">
        <v>2030</v>
      </c>
      <c r="B29" t="s">
        <v>22</v>
      </c>
      <c r="C29">
        <v>66.95</v>
      </c>
      <c r="D29">
        <v>12</v>
      </c>
      <c r="E29">
        <v>35</v>
      </c>
    </row>
    <row r="30" spans="1:5" x14ac:dyDescent="0.2">
      <c r="A30">
        <v>2030</v>
      </c>
      <c r="B30" t="s">
        <v>23</v>
      </c>
      <c r="C30">
        <v>101.58499999999999</v>
      </c>
      <c r="D30">
        <v>12</v>
      </c>
      <c r="E30">
        <v>40</v>
      </c>
    </row>
    <row r="31" spans="1:5" x14ac:dyDescent="0.2">
      <c r="A31">
        <v>2030</v>
      </c>
      <c r="B31" t="s">
        <v>24</v>
      </c>
      <c r="C31">
        <v>161.82</v>
      </c>
      <c r="D31">
        <v>12</v>
      </c>
      <c r="E31">
        <v>45</v>
      </c>
    </row>
    <row r="32" spans="1:5" x14ac:dyDescent="0.2">
      <c r="A32">
        <v>2030</v>
      </c>
      <c r="B32" t="s">
        <v>189</v>
      </c>
      <c r="C32">
        <v>0</v>
      </c>
      <c r="D32">
        <v>12</v>
      </c>
      <c r="E32">
        <v>20</v>
      </c>
    </row>
    <row r="33" spans="1:5" x14ac:dyDescent="0.2">
      <c r="A33">
        <v>2030</v>
      </c>
      <c r="B33" t="s">
        <v>186</v>
      </c>
      <c r="C33">
        <v>0</v>
      </c>
      <c r="D33">
        <v>12</v>
      </c>
      <c r="E33">
        <v>25</v>
      </c>
    </row>
    <row r="34" spans="1:5" x14ac:dyDescent="0.2">
      <c r="A34">
        <v>2030</v>
      </c>
      <c r="B34" t="s">
        <v>183</v>
      </c>
      <c r="C34">
        <v>22.571249999999999</v>
      </c>
      <c r="D34">
        <v>12</v>
      </c>
      <c r="E34">
        <v>30</v>
      </c>
    </row>
    <row r="35" spans="1:5" x14ac:dyDescent="0.2">
      <c r="A35">
        <v>2030</v>
      </c>
      <c r="B35" t="s">
        <v>180</v>
      </c>
      <c r="C35">
        <v>70.297499999999999</v>
      </c>
      <c r="D35">
        <v>12</v>
      </c>
      <c r="E35">
        <v>35</v>
      </c>
    </row>
    <row r="36" spans="1:5" x14ac:dyDescent="0.2">
      <c r="A36">
        <v>2030</v>
      </c>
      <c r="B36" t="s">
        <v>177</v>
      </c>
      <c r="C36">
        <v>120.05500000000001</v>
      </c>
      <c r="D36">
        <v>12</v>
      </c>
      <c r="E36">
        <v>40</v>
      </c>
    </row>
    <row r="37" spans="1:5" x14ac:dyDescent="0.2">
      <c r="A37">
        <v>2030</v>
      </c>
      <c r="B37" t="s">
        <v>174</v>
      </c>
      <c r="C37">
        <v>195.5325</v>
      </c>
      <c r="D37">
        <v>12</v>
      </c>
      <c r="E37">
        <v>45</v>
      </c>
    </row>
    <row r="38" spans="1:5" x14ac:dyDescent="0.2">
      <c r="A38">
        <v>2035</v>
      </c>
      <c r="B38" t="s">
        <v>10</v>
      </c>
      <c r="C38">
        <v>0</v>
      </c>
      <c r="D38">
        <v>13</v>
      </c>
      <c r="E38">
        <v>20</v>
      </c>
    </row>
    <row r="39" spans="1:5" x14ac:dyDescent="0.2">
      <c r="A39">
        <v>2035</v>
      </c>
      <c r="B39" t="s">
        <v>3</v>
      </c>
      <c r="C39">
        <v>10.740625</v>
      </c>
      <c r="D39">
        <v>13</v>
      </c>
      <c r="E39">
        <v>25</v>
      </c>
    </row>
    <row r="40" spans="1:5" x14ac:dyDescent="0.2">
      <c r="A40">
        <v>2035</v>
      </c>
      <c r="B40" t="s">
        <v>11</v>
      </c>
      <c r="C40">
        <v>41.67</v>
      </c>
      <c r="D40">
        <v>13</v>
      </c>
      <c r="E40">
        <v>30</v>
      </c>
    </row>
    <row r="41" spans="1:5" x14ac:dyDescent="0.2">
      <c r="A41">
        <v>2035</v>
      </c>
      <c r="B41" t="s">
        <v>22</v>
      </c>
      <c r="C41">
        <v>89.85</v>
      </c>
      <c r="D41">
        <v>13</v>
      </c>
      <c r="E41">
        <v>35</v>
      </c>
    </row>
    <row r="42" spans="1:5" x14ac:dyDescent="0.2">
      <c r="A42">
        <v>2035</v>
      </c>
      <c r="B42" t="s">
        <v>23</v>
      </c>
      <c r="C42">
        <v>122.65</v>
      </c>
      <c r="D42">
        <v>13</v>
      </c>
      <c r="E42">
        <v>40</v>
      </c>
    </row>
    <row r="43" spans="1:5" x14ac:dyDescent="0.2">
      <c r="A43">
        <v>2035</v>
      </c>
      <c r="B43" t="s">
        <v>24</v>
      </c>
      <c r="C43">
        <v>192.6</v>
      </c>
      <c r="D43">
        <v>13</v>
      </c>
      <c r="E43">
        <v>45</v>
      </c>
    </row>
    <row r="44" spans="1:5" x14ac:dyDescent="0.2">
      <c r="A44">
        <v>2035</v>
      </c>
      <c r="B44" t="s">
        <v>189</v>
      </c>
      <c r="C44">
        <v>0</v>
      </c>
      <c r="D44">
        <v>13</v>
      </c>
      <c r="E44">
        <v>20</v>
      </c>
    </row>
    <row r="45" spans="1:5" x14ac:dyDescent="0.2">
      <c r="A45">
        <v>2035</v>
      </c>
      <c r="B45" t="s">
        <v>186</v>
      </c>
      <c r="C45">
        <v>11.354374999999999</v>
      </c>
      <c r="D45">
        <v>13</v>
      </c>
      <c r="E45">
        <v>25</v>
      </c>
    </row>
    <row r="46" spans="1:5" x14ac:dyDescent="0.2">
      <c r="A46">
        <v>2035</v>
      </c>
      <c r="B46" t="s">
        <v>183</v>
      </c>
      <c r="C46">
        <v>45.142499999999998</v>
      </c>
      <c r="D46">
        <v>13</v>
      </c>
      <c r="E46">
        <v>30</v>
      </c>
    </row>
    <row r="47" spans="1:5" x14ac:dyDescent="0.2">
      <c r="A47">
        <v>2035</v>
      </c>
      <c r="B47" t="s">
        <v>180</v>
      </c>
      <c r="C47">
        <v>94.342500000000001</v>
      </c>
      <c r="D47">
        <v>13</v>
      </c>
      <c r="E47">
        <v>35</v>
      </c>
    </row>
    <row r="48" spans="1:5" x14ac:dyDescent="0.2">
      <c r="A48">
        <v>2035</v>
      </c>
      <c r="B48" t="s">
        <v>177</v>
      </c>
      <c r="C48">
        <v>144.94999999999999</v>
      </c>
      <c r="D48">
        <v>13</v>
      </c>
      <c r="E48">
        <v>40</v>
      </c>
    </row>
    <row r="49" spans="1:5" x14ac:dyDescent="0.2">
      <c r="A49">
        <v>2035</v>
      </c>
      <c r="B49" t="s">
        <v>174</v>
      </c>
      <c r="C49">
        <v>232.72499999999999</v>
      </c>
      <c r="D49">
        <v>13</v>
      </c>
      <c r="E49">
        <v>45</v>
      </c>
    </row>
    <row r="50" spans="1:5" x14ac:dyDescent="0.2">
      <c r="A50">
        <v>2040</v>
      </c>
      <c r="B50" t="s">
        <v>10</v>
      </c>
      <c r="C50">
        <v>0</v>
      </c>
      <c r="D50">
        <v>14</v>
      </c>
      <c r="E50">
        <v>20</v>
      </c>
    </row>
    <row r="51" spans="1:5" x14ac:dyDescent="0.2">
      <c r="A51">
        <v>2040</v>
      </c>
      <c r="B51" t="s">
        <v>3</v>
      </c>
      <c r="C51">
        <v>22.574999999999999</v>
      </c>
      <c r="D51">
        <v>14</v>
      </c>
      <c r="E51">
        <v>25</v>
      </c>
    </row>
    <row r="52" spans="1:5" x14ac:dyDescent="0.2">
      <c r="A52">
        <v>2040</v>
      </c>
      <c r="B52" t="s">
        <v>11</v>
      </c>
      <c r="C52">
        <v>61.717500000000001</v>
      </c>
      <c r="D52">
        <v>14</v>
      </c>
      <c r="E52">
        <v>30</v>
      </c>
    </row>
    <row r="53" spans="1:5" x14ac:dyDescent="0.2">
      <c r="A53">
        <v>2040</v>
      </c>
      <c r="B53" t="s">
        <v>22</v>
      </c>
      <c r="C53">
        <v>112.1</v>
      </c>
      <c r="D53">
        <v>14</v>
      </c>
      <c r="E53">
        <v>35</v>
      </c>
    </row>
    <row r="54" spans="1:5" x14ac:dyDescent="0.2">
      <c r="A54">
        <v>2040</v>
      </c>
      <c r="B54" t="s">
        <v>23</v>
      </c>
      <c r="C54">
        <v>162.41499999999999</v>
      </c>
      <c r="D54">
        <v>14</v>
      </c>
      <c r="E54">
        <v>40</v>
      </c>
    </row>
    <row r="55" spans="1:5" x14ac:dyDescent="0.2">
      <c r="A55">
        <v>2040</v>
      </c>
      <c r="B55" t="s">
        <v>24</v>
      </c>
      <c r="C55">
        <v>223.38</v>
      </c>
      <c r="D55">
        <v>14</v>
      </c>
      <c r="E55">
        <v>45</v>
      </c>
    </row>
    <row r="56" spans="1:5" x14ac:dyDescent="0.2">
      <c r="A56">
        <v>2040</v>
      </c>
      <c r="B56" t="s">
        <v>189</v>
      </c>
      <c r="C56">
        <v>0</v>
      </c>
      <c r="D56">
        <v>14</v>
      </c>
      <c r="E56">
        <v>20</v>
      </c>
    </row>
    <row r="57" spans="1:5" x14ac:dyDescent="0.2">
      <c r="A57">
        <v>2040</v>
      </c>
      <c r="B57" t="s">
        <v>186</v>
      </c>
      <c r="C57">
        <v>23.864999999999998</v>
      </c>
      <c r="D57">
        <v>14</v>
      </c>
      <c r="E57">
        <v>25</v>
      </c>
    </row>
    <row r="58" spans="1:5" x14ac:dyDescent="0.2">
      <c r="A58">
        <v>2040</v>
      </c>
      <c r="B58" t="s">
        <v>183</v>
      </c>
      <c r="C58">
        <v>66.860624999999999</v>
      </c>
      <c r="D58">
        <v>14</v>
      </c>
      <c r="E58">
        <v>30</v>
      </c>
    </row>
    <row r="59" spans="1:5" x14ac:dyDescent="0.2">
      <c r="A59">
        <v>2040</v>
      </c>
      <c r="B59" t="s">
        <v>180</v>
      </c>
      <c r="C59">
        <v>117.705</v>
      </c>
      <c r="D59">
        <v>14</v>
      </c>
      <c r="E59">
        <v>35</v>
      </c>
    </row>
    <row r="60" spans="1:5" x14ac:dyDescent="0.2">
      <c r="A60">
        <v>2040</v>
      </c>
      <c r="B60" t="s">
        <v>177</v>
      </c>
      <c r="C60">
        <v>191.94499999999999</v>
      </c>
      <c r="D60">
        <v>14</v>
      </c>
      <c r="E60">
        <v>40</v>
      </c>
    </row>
    <row r="61" spans="1:5" x14ac:dyDescent="0.2">
      <c r="A61">
        <v>2040</v>
      </c>
      <c r="B61" t="s">
        <v>174</v>
      </c>
      <c r="C61">
        <v>269.91750000000002</v>
      </c>
      <c r="D61">
        <v>14</v>
      </c>
      <c r="E61">
        <v>45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6"/>
  <sheetViews>
    <sheetView workbookViewId="0">
      <selection activeCell="D9" sqref="D9"/>
    </sheetView>
  </sheetViews>
  <sheetFormatPr baseColWidth="10" defaultRowHeight="16" x14ac:dyDescent="0.2"/>
  <sheetData>
    <row r="1" spans="1:2" x14ac:dyDescent="0.2">
      <c r="A1" t="s">
        <v>5</v>
      </c>
      <c r="B1" t="s">
        <v>339</v>
      </c>
    </row>
    <row r="2" spans="1:2" x14ac:dyDescent="0.2">
      <c r="A2">
        <v>2020</v>
      </c>
      <c r="B2">
        <v>3</v>
      </c>
    </row>
    <row r="3" spans="1:2" x14ac:dyDescent="0.2">
      <c r="A3">
        <v>2025</v>
      </c>
      <c r="B3">
        <v>3.1</v>
      </c>
    </row>
    <row r="4" spans="1:2" x14ac:dyDescent="0.2">
      <c r="A4">
        <v>2030</v>
      </c>
      <c r="B4">
        <v>3.2</v>
      </c>
    </row>
    <row r="5" spans="1:2" x14ac:dyDescent="0.2">
      <c r="A5">
        <v>2035</v>
      </c>
      <c r="B5">
        <v>3.1</v>
      </c>
    </row>
    <row r="6" spans="1:2" x14ac:dyDescent="0.2">
      <c r="A6">
        <v>2040</v>
      </c>
      <c r="B6">
        <v>3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92"/>
  <sheetViews>
    <sheetView workbookViewId="0">
      <selection activeCell="F1" sqref="F1"/>
    </sheetView>
  </sheetViews>
  <sheetFormatPr baseColWidth="10" defaultRowHeight="16" x14ac:dyDescent="0.2"/>
  <sheetData>
    <row r="1" spans="1:8" x14ac:dyDescent="0.2">
      <c r="A1" t="s">
        <v>5</v>
      </c>
      <c r="B1" t="s">
        <v>192</v>
      </c>
      <c r="C1" t="s">
        <v>245</v>
      </c>
      <c r="D1" t="s">
        <v>246</v>
      </c>
      <c r="E1" t="s">
        <v>247</v>
      </c>
      <c r="F1" t="s">
        <v>248</v>
      </c>
      <c r="G1" t="s">
        <v>244</v>
      </c>
      <c r="H1" t="s">
        <v>243</v>
      </c>
    </row>
    <row r="2" spans="1:8" x14ac:dyDescent="0.2">
      <c r="A2">
        <v>1980</v>
      </c>
      <c r="B2" t="s">
        <v>226</v>
      </c>
      <c r="C2">
        <v>0.15</v>
      </c>
      <c r="D2">
        <v>0.15</v>
      </c>
      <c r="E2">
        <v>0.15</v>
      </c>
      <c r="F2">
        <v>0.15</v>
      </c>
      <c r="G2">
        <v>0.15</v>
      </c>
      <c r="H2">
        <v>0.15</v>
      </c>
    </row>
    <row r="3" spans="1:8" x14ac:dyDescent="0.2">
      <c r="A3">
        <v>1980</v>
      </c>
      <c r="B3" t="s">
        <v>10</v>
      </c>
      <c r="C3">
        <v>0.15</v>
      </c>
      <c r="D3">
        <v>0.15</v>
      </c>
      <c r="E3">
        <v>0.15</v>
      </c>
      <c r="F3">
        <v>0.15</v>
      </c>
      <c r="G3">
        <v>0.15</v>
      </c>
      <c r="H3">
        <v>0.15</v>
      </c>
    </row>
    <row r="4" spans="1:8" x14ac:dyDescent="0.2">
      <c r="A4">
        <v>1980</v>
      </c>
      <c r="B4" t="s">
        <v>3</v>
      </c>
      <c r="C4">
        <v>0.15</v>
      </c>
      <c r="D4">
        <v>0.15</v>
      </c>
      <c r="E4">
        <v>0.15</v>
      </c>
      <c r="F4">
        <v>0.15</v>
      </c>
      <c r="G4">
        <v>0.15</v>
      </c>
      <c r="H4">
        <v>0.15</v>
      </c>
    </row>
    <row r="5" spans="1:8" x14ac:dyDescent="0.2">
      <c r="A5">
        <v>1980</v>
      </c>
      <c r="B5" t="s">
        <v>11</v>
      </c>
      <c r="C5">
        <v>0.15</v>
      </c>
      <c r="D5">
        <v>0.15</v>
      </c>
      <c r="E5">
        <v>0.15</v>
      </c>
      <c r="F5">
        <v>0.15</v>
      </c>
      <c r="G5">
        <v>0.15</v>
      </c>
      <c r="H5">
        <v>0.15</v>
      </c>
    </row>
    <row r="6" spans="1:8" x14ac:dyDescent="0.2">
      <c r="A6">
        <v>1980</v>
      </c>
      <c r="B6" t="s">
        <v>22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</row>
    <row r="7" spans="1:8" x14ac:dyDescent="0.2">
      <c r="A7">
        <v>1980</v>
      </c>
      <c r="B7" t="s">
        <v>23</v>
      </c>
      <c r="C7">
        <v>0.15</v>
      </c>
      <c r="D7">
        <v>0.15</v>
      </c>
      <c r="E7">
        <v>0.15</v>
      </c>
      <c r="F7">
        <v>0.15</v>
      </c>
      <c r="G7">
        <v>0.15</v>
      </c>
      <c r="H7">
        <v>0.15</v>
      </c>
    </row>
    <row r="8" spans="1:8" x14ac:dyDescent="0.2">
      <c r="A8">
        <v>1980</v>
      </c>
      <c r="B8" t="s">
        <v>24</v>
      </c>
      <c r="C8">
        <v>0.15</v>
      </c>
      <c r="D8">
        <v>0.15</v>
      </c>
      <c r="E8">
        <v>0.15</v>
      </c>
      <c r="F8">
        <v>0.15</v>
      </c>
      <c r="G8">
        <v>0.15</v>
      </c>
      <c r="H8">
        <v>0.15</v>
      </c>
    </row>
    <row r="9" spans="1:8" x14ac:dyDescent="0.2">
      <c r="A9">
        <v>1980</v>
      </c>
      <c r="B9" t="s">
        <v>189</v>
      </c>
      <c r="C9">
        <v>0.15</v>
      </c>
      <c r="D9">
        <v>0.15</v>
      </c>
      <c r="E9">
        <v>0.15</v>
      </c>
      <c r="F9">
        <v>0.15</v>
      </c>
      <c r="G9">
        <v>0.15</v>
      </c>
      <c r="H9">
        <v>0.15</v>
      </c>
    </row>
    <row r="10" spans="1:8" x14ac:dyDescent="0.2">
      <c r="A10">
        <v>1980</v>
      </c>
      <c r="B10" t="s">
        <v>186</v>
      </c>
      <c r="C10">
        <v>0.15</v>
      </c>
      <c r="D10">
        <v>0.15</v>
      </c>
      <c r="E10">
        <v>0.15</v>
      </c>
      <c r="F10">
        <v>0.15</v>
      </c>
      <c r="G10">
        <v>0.15</v>
      </c>
      <c r="H10">
        <v>0.15</v>
      </c>
    </row>
    <row r="11" spans="1:8" x14ac:dyDescent="0.2">
      <c r="A11">
        <v>1980</v>
      </c>
      <c r="B11" t="s">
        <v>183</v>
      </c>
      <c r="C11">
        <v>0.15</v>
      </c>
      <c r="D11">
        <v>0.15</v>
      </c>
      <c r="E11">
        <v>0.15</v>
      </c>
      <c r="F11">
        <v>0.15</v>
      </c>
      <c r="G11">
        <v>0.15</v>
      </c>
      <c r="H11">
        <v>0.15</v>
      </c>
    </row>
    <row r="12" spans="1:8" x14ac:dyDescent="0.2">
      <c r="A12">
        <v>1980</v>
      </c>
      <c r="B12" t="s">
        <v>180</v>
      </c>
      <c r="C12">
        <v>0.15</v>
      </c>
      <c r="D12">
        <v>0.15</v>
      </c>
      <c r="E12">
        <v>0.15</v>
      </c>
      <c r="F12">
        <v>0.15</v>
      </c>
      <c r="G12">
        <v>0.15</v>
      </c>
      <c r="H12">
        <v>0.15</v>
      </c>
    </row>
    <row r="13" spans="1:8" x14ac:dyDescent="0.2">
      <c r="A13">
        <v>1980</v>
      </c>
      <c r="B13" t="s">
        <v>177</v>
      </c>
      <c r="C13">
        <v>0.15</v>
      </c>
      <c r="D13">
        <v>0.15</v>
      </c>
      <c r="E13">
        <v>0.15</v>
      </c>
      <c r="F13">
        <v>0.15</v>
      </c>
      <c r="G13">
        <v>0.15</v>
      </c>
      <c r="H13">
        <v>0.15</v>
      </c>
    </row>
    <row r="14" spans="1:8" x14ac:dyDescent="0.2">
      <c r="A14">
        <v>1980</v>
      </c>
      <c r="B14" t="s">
        <v>174</v>
      </c>
      <c r="C14">
        <v>0.15</v>
      </c>
      <c r="D14">
        <v>0.15</v>
      </c>
      <c r="E14">
        <v>0.15</v>
      </c>
      <c r="F14">
        <v>0.15</v>
      </c>
      <c r="G14">
        <v>0.15</v>
      </c>
      <c r="H14">
        <v>0.15</v>
      </c>
    </row>
    <row r="15" spans="1:8" x14ac:dyDescent="0.2">
      <c r="A15">
        <v>1990</v>
      </c>
      <c r="B15" t="s">
        <v>226</v>
      </c>
      <c r="C15">
        <v>0.16</v>
      </c>
      <c r="D15">
        <v>0.16</v>
      </c>
      <c r="E15">
        <v>0.16</v>
      </c>
      <c r="F15">
        <v>0.16</v>
      </c>
      <c r="G15">
        <v>0.16</v>
      </c>
      <c r="H15">
        <v>0.16</v>
      </c>
    </row>
    <row r="16" spans="1:8" x14ac:dyDescent="0.2">
      <c r="A16">
        <v>1990</v>
      </c>
      <c r="B16" t="s">
        <v>10</v>
      </c>
      <c r="C16">
        <v>0.16</v>
      </c>
      <c r="D16">
        <v>0.16</v>
      </c>
      <c r="E16">
        <v>0.16</v>
      </c>
      <c r="F16">
        <v>0.16</v>
      </c>
      <c r="G16">
        <v>0.16</v>
      </c>
      <c r="H16">
        <v>0.16</v>
      </c>
    </row>
    <row r="17" spans="1:8" x14ac:dyDescent="0.2">
      <c r="A17">
        <v>1990</v>
      </c>
      <c r="B17" t="s">
        <v>3</v>
      </c>
      <c r="C17">
        <v>0.16</v>
      </c>
      <c r="D17">
        <v>0.16</v>
      </c>
      <c r="E17">
        <v>0.16</v>
      </c>
      <c r="F17">
        <v>0.16</v>
      </c>
      <c r="G17">
        <v>0.16</v>
      </c>
      <c r="H17">
        <v>0.16</v>
      </c>
    </row>
    <row r="18" spans="1:8" x14ac:dyDescent="0.2">
      <c r="A18">
        <v>1990</v>
      </c>
      <c r="B18" t="s">
        <v>11</v>
      </c>
      <c r="C18">
        <v>0.16</v>
      </c>
      <c r="D18">
        <v>0.16</v>
      </c>
      <c r="E18">
        <v>0.16</v>
      </c>
      <c r="F18">
        <v>0.16</v>
      </c>
      <c r="G18">
        <v>0.16</v>
      </c>
      <c r="H18">
        <v>0.16</v>
      </c>
    </row>
    <row r="19" spans="1:8" x14ac:dyDescent="0.2">
      <c r="A19">
        <v>1990</v>
      </c>
      <c r="B19" t="s">
        <v>22</v>
      </c>
      <c r="C19">
        <v>0.16</v>
      </c>
      <c r="D19">
        <v>0.16</v>
      </c>
      <c r="E19">
        <v>0.16</v>
      </c>
      <c r="F19">
        <v>0.16</v>
      </c>
      <c r="G19">
        <v>0.16</v>
      </c>
      <c r="H19">
        <v>0.16</v>
      </c>
    </row>
    <row r="20" spans="1:8" x14ac:dyDescent="0.2">
      <c r="A20">
        <v>1990</v>
      </c>
      <c r="B20" t="s">
        <v>23</v>
      </c>
      <c r="C20">
        <v>0.16</v>
      </c>
      <c r="D20">
        <v>0.16</v>
      </c>
      <c r="E20">
        <v>0.16</v>
      </c>
      <c r="F20">
        <v>0.16</v>
      </c>
      <c r="G20">
        <v>0.16</v>
      </c>
      <c r="H20">
        <v>0.16</v>
      </c>
    </row>
    <row r="21" spans="1:8" x14ac:dyDescent="0.2">
      <c r="A21">
        <v>1990</v>
      </c>
      <c r="B21" t="s">
        <v>24</v>
      </c>
      <c r="C21">
        <v>0.16</v>
      </c>
      <c r="D21">
        <v>0.16</v>
      </c>
      <c r="E21">
        <v>0.16</v>
      </c>
      <c r="F21">
        <v>0.16</v>
      </c>
      <c r="G21">
        <v>0.16</v>
      </c>
      <c r="H21">
        <v>0.16</v>
      </c>
    </row>
    <row r="22" spans="1:8" x14ac:dyDescent="0.2">
      <c r="A22">
        <v>1990</v>
      </c>
      <c r="B22" t="s">
        <v>189</v>
      </c>
      <c r="C22">
        <v>0.16</v>
      </c>
      <c r="D22">
        <v>0.16</v>
      </c>
      <c r="E22">
        <v>0.16</v>
      </c>
      <c r="F22">
        <v>0.16</v>
      </c>
      <c r="G22">
        <v>0.16</v>
      </c>
      <c r="H22">
        <v>0.16</v>
      </c>
    </row>
    <row r="23" spans="1:8" x14ac:dyDescent="0.2">
      <c r="A23">
        <v>1990</v>
      </c>
      <c r="B23" t="s">
        <v>186</v>
      </c>
      <c r="C23">
        <v>0.16</v>
      </c>
      <c r="D23">
        <v>0.16</v>
      </c>
      <c r="E23">
        <v>0.16</v>
      </c>
      <c r="F23">
        <v>0.16</v>
      </c>
      <c r="G23">
        <v>0.16</v>
      </c>
      <c r="H23">
        <v>0.16</v>
      </c>
    </row>
    <row r="24" spans="1:8" x14ac:dyDescent="0.2">
      <c r="A24">
        <v>1990</v>
      </c>
      <c r="B24" t="s">
        <v>183</v>
      </c>
      <c r="C24">
        <v>0.16</v>
      </c>
      <c r="D24">
        <v>0.16</v>
      </c>
      <c r="E24">
        <v>0.16</v>
      </c>
      <c r="F24">
        <v>0.16</v>
      </c>
      <c r="G24">
        <v>0.16</v>
      </c>
      <c r="H24">
        <v>0.16</v>
      </c>
    </row>
    <row r="25" spans="1:8" x14ac:dyDescent="0.2">
      <c r="A25">
        <v>1990</v>
      </c>
      <c r="B25" t="s">
        <v>180</v>
      </c>
      <c r="C25">
        <v>0.16</v>
      </c>
      <c r="D25">
        <v>0.16</v>
      </c>
      <c r="E25">
        <v>0.16</v>
      </c>
      <c r="F25">
        <v>0.16</v>
      </c>
      <c r="G25">
        <v>0.16</v>
      </c>
      <c r="H25">
        <v>0.16</v>
      </c>
    </row>
    <row r="26" spans="1:8" x14ac:dyDescent="0.2">
      <c r="A26">
        <v>1990</v>
      </c>
      <c r="B26" t="s">
        <v>177</v>
      </c>
      <c r="C26">
        <v>0.16</v>
      </c>
      <c r="D26">
        <v>0.16</v>
      </c>
      <c r="E26">
        <v>0.16</v>
      </c>
      <c r="F26">
        <v>0.16</v>
      </c>
      <c r="G26">
        <v>0.16</v>
      </c>
      <c r="H26">
        <v>0.16</v>
      </c>
    </row>
    <row r="27" spans="1:8" x14ac:dyDescent="0.2">
      <c r="A27">
        <v>1990</v>
      </c>
      <c r="B27" t="s">
        <v>174</v>
      </c>
      <c r="C27">
        <v>0.16</v>
      </c>
      <c r="D27">
        <v>0.16</v>
      </c>
      <c r="E27">
        <v>0.16</v>
      </c>
      <c r="F27">
        <v>0.16</v>
      </c>
      <c r="G27">
        <v>0.16</v>
      </c>
      <c r="H27">
        <v>0.16</v>
      </c>
    </row>
    <row r="28" spans="1:8" x14ac:dyDescent="0.2">
      <c r="A28">
        <v>2000</v>
      </c>
      <c r="B28" t="s">
        <v>226</v>
      </c>
      <c r="C28">
        <v>0.17</v>
      </c>
      <c r="D28">
        <v>0.17</v>
      </c>
      <c r="E28">
        <v>0.17</v>
      </c>
      <c r="F28">
        <v>0.17</v>
      </c>
      <c r="G28">
        <v>0.17</v>
      </c>
      <c r="H28">
        <v>0.17</v>
      </c>
    </row>
    <row r="29" spans="1:8" x14ac:dyDescent="0.2">
      <c r="A29">
        <v>2000</v>
      </c>
      <c r="B29" t="s">
        <v>10</v>
      </c>
      <c r="C29">
        <v>0.17</v>
      </c>
      <c r="D29">
        <v>0.17</v>
      </c>
      <c r="E29">
        <v>0.17</v>
      </c>
      <c r="F29">
        <v>0.17</v>
      </c>
      <c r="G29">
        <v>0.17</v>
      </c>
      <c r="H29">
        <v>0.17</v>
      </c>
    </row>
    <row r="30" spans="1:8" x14ac:dyDescent="0.2">
      <c r="A30">
        <v>2000</v>
      </c>
      <c r="B30" t="s">
        <v>3</v>
      </c>
      <c r="C30">
        <v>0.17</v>
      </c>
      <c r="D30">
        <v>0.17</v>
      </c>
      <c r="E30">
        <v>0.17</v>
      </c>
      <c r="F30">
        <v>0.17</v>
      </c>
      <c r="G30">
        <v>0.17</v>
      </c>
      <c r="H30">
        <v>0.17</v>
      </c>
    </row>
    <row r="31" spans="1:8" x14ac:dyDescent="0.2">
      <c r="A31">
        <v>2000</v>
      </c>
      <c r="B31" t="s">
        <v>11</v>
      </c>
      <c r="C31">
        <v>0.17</v>
      </c>
      <c r="D31">
        <v>0.17</v>
      </c>
      <c r="E31">
        <v>0.17</v>
      </c>
      <c r="F31">
        <v>0.17</v>
      </c>
      <c r="G31">
        <v>0.17</v>
      </c>
      <c r="H31">
        <v>0.17</v>
      </c>
    </row>
    <row r="32" spans="1:8" x14ac:dyDescent="0.2">
      <c r="A32">
        <v>2000</v>
      </c>
      <c r="B32" t="s">
        <v>22</v>
      </c>
      <c r="C32">
        <v>0.17</v>
      </c>
      <c r="D32">
        <v>0.17</v>
      </c>
      <c r="E32">
        <v>0.17</v>
      </c>
      <c r="F32">
        <v>0.17</v>
      </c>
      <c r="G32">
        <v>0.17</v>
      </c>
      <c r="H32">
        <v>0.17</v>
      </c>
    </row>
    <row r="33" spans="1:8" x14ac:dyDescent="0.2">
      <c r="A33">
        <v>2000</v>
      </c>
      <c r="B33" t="s">
        <v>23</v>
      </c>
      <c r="C33">
        <v>0.17</v>
      </c>
      <c r="D33">
        <v>0.17</v>
      </c>
      <c r="E33">
        <v>0.17</v>
      </c>
      <c r="F33">
        <v>0.17</v>
      </c>
      <c r="G33">
        <v>0.17</v>
      </c>
      <c r="H33">
        <v>0.17</v>
      </c>
    </row>
    <row r="34" spans="1:8" x14ac:dyDescent="0.2">
      <c r="A34">
        <v>2000</v>
      </c>
      <c r="B34" t="s">
        <v>24</v>
      </c>
      <c r="C34">
        <v>0.17</v>
      </c>
      <c r="D34">
        <v>0.17</v>
      </c>
      <c r="E34">
        <v>0.17</v>
      </c>
      <c r="F34">
        <v>0.17</v>
      </c>
      <c r="G34">
        <v>0.17</v>
      </c>
      <c r="H34">
        <v>0.17</v>
      </c>
    </row>
    <row r="35" spans="1:8" x14ac:dyDescent="0.2">
      <c r="A35">
        <v>2000</v>
      </c>
      <c r="B35" t="s">
        <v>189</v>
      </c>
      <c r="C35">
        <v>0.17</v>
      </c>
      <c r="D35">
        <v>0.17</v>
      </c>
      <c r="E35">
        <v>0.17</v>
      </c>
      <c r="F35">
        <v>0.17</v>
      </c>
      <c r="G35">
        <v>0.17</v>
      </c>
      <c r="H35">
        <v>0.17</v>
      </c>
    </row>
    <row r="36" spans="1:8" x14ac:dyDescent="0.2">
      <c r="A36">
        <v>2000</v>
      </c>
      <c r="B36" t="s">
        <v>186</v>
      </c>
      <c r="C36">
        <v>0.17</v>
      </c>
      <c r="D36">
        <v>0.17</v>
      </c>
      <c r="E36">
        <v>0.17</v>
      </c>
      <c r="F36">
        <v>0.17</v>
      </c>
      <c r="G36">
        <v>0.17</v>
      </c>
      <c r="H36">
        <v>0.17</v>
      </c>
    </row>
    <row r="37" spans="1:8" x14ac:dyDescent="0.2">
      <c r="A37">
        <v>2000</v>
      </c>
      <c r="B37" t="s">
        <v>183</v>
      </c>
      <c r="C37">
        <v>0.17</v>
      </c>
      <c r="D37">
        <v>0.17</v>
      </c>
      <c r="E37">
        <v>0.17</v>
      </c>
      <c r="F37">
        <v>0.17</v>
      </c>
      <c r="G37">
        <v>0.17</v>
      </c>
      <c r="H37">
        <v>0.17</v>
      </c>
    </row>
    <row r="38" spans="1:8" x14ac:dyDescent="0.2">
      <c r="A38">
        <v>2000</v>
      </c>
      <c r="B38" t="s">
        <v>180</v>
      </c>
      <c r="C38">
        <v>0.17</v>
      </c>
      <c r="D38">
        <v>0.17</v>
      </c>
      <c r="E38">
        <v>0.17</v>
      </c>
      <c r="F38">
        <v>0.17</v>
      </c>
      <c r="G38">
        <v>0.17</v>
      </c>
      <c r="H38">
        <v>0.17</v>
      </c>
    </row>
    <row r="39" spans="1:8" x14ac:dyDescent="0.2">
      <c r="A39">
        <v>2000</v>
      </c>
      <c r="B39" t="s">
        <v>177</v>
      </c>
      <c r="C39">
        <v>0.17</v>
      </c>
      <c r="D39">
        <v>0.17</v>
      </c>
      <c r="E39">
        <v>0.17</v>
      </c>
      <c r="F39">
        <v>0.17</v>
      </c>
      <c r="G39">
        <v>0.17</v>
      </c>
      <c r="H39">
        <v>0.17</v>
      </c>
    </row>
    <row r="40" spans="1:8" x14ac:dyDescent="0.2">
      <c r="A40">
        <v>2000</v>
      </c>
      <c r="B40" t="s">
        <v>174</v>
      </c>
      <c r="C40">
        <v>0.17</v>
      </c>
      <c r="D40">
        <v>0.17</v>
      </c>
      <c r="E40">
        <v>0.17</v>
      </c>
      <c r="F40">
        <v>0.17</v>
      </c>
      <c r="G40">
        <v>0.17</v>
      </c>
      <c r="H40">
        <v>0.17</v>
      </c>
    </row>
    <row r="41" spans="1:8" x14ac:dyDescent="0.2">
      <c r="A41">
        <v>2010</v>
      </c>
      <c r="B41" t="s">
        <v>226</v>
      </c>
      <c r="C41">
        <v>0.18</v>
      </c>
      <c r="D41">
        <v>0.18</v>
      </c>
      <c r="E41">
        <v>0.18</v>
      </c>
      <c r="F41">
        <v>0.18</v>
      </c>
      <c r="G41">
        <v>0.18</v>
      </c>
      <c r="H41">
        <v>0.18</v>
      </c>
    </row>
    <row r="42" spans="1:8" x14ac:dyDescent="0.2">
      <c r="A42">
        <v>2010</v>
      </c>
      <c r="B42" t="s">
        <v>10</v>
      </c>
      <c r="C42">
        <v>0.18</v>
      </c>
      <c r="D42">
        <v>0.18</v>
      </c>
      <c r="E42">
        <v>0.18</v>
      </c>
      <c r="F42">
        <v>0.18</v>
      </c>
      <c r="G42">
        <v>0.18</v>
      </c>
      <c r="H42">
        <v>0.18</v>
      </c>
    </row>
    <row r="43" spans="1:8" x14ac:dyDescent="0.2">
      <c r="A43">
        <v>2010</v>
      </c>
      <c r="B43" t="s">
        <v>3</v>
      </c>
      <c r="C43">
        <v>0.18</v>
      </c>
      <c r="D43">
        <v>0.18</v>
      </c>
      <c r="E43">
        <v>0.18</v>
      </c>
      <c r="F43">
        <v>0.18</v>
      </c>
      <c r="G43">
        <v>0.18</v>
      </c>
      <c r="H43">
        <v>0.18</v>
      </c>
    </row>
    <row r="44" spans="1:8" x14ac:dyDescent="0.2">
      <c r="A44">
        <v>2010</v>
      </c>
      <c r="B44" t="s">
        <v>11</v>
      </c>
      <c r="C44">
        <v>0.18</v>
      </c>
      <c r="D44">
        <v>0.18</v>
      </c>
      <c r="E44">
        <v>0.18</v>
      </c>
      <c r="F44">
        <v>0.18</v>
      </c>
      <c r="G44">
        <v>0.18</v>
      </c>
      <c r="H44">
        <v>0.18</v>
      </c>
    </row>
    <row r="45" spans="1:8" x14ac:dyDescent="0.2">
      <c r="A45">
        <v>2010</v>
      </c>
      <c r="B45" t="s">
        <v>22</v>
      </c>
      <c r="C45">
        <v>0.18</v>
      </c>
      <c r="D45">
        <v>0.18</v>
      </c>
      <c r="E45">
        <v>0.18</v>
      </c>
      <c r="F45">
        <v>0.18</v>
      </c>
      <c r="G45">
        <v>0.18</v>
      </c>
      <c r="H45">
        <v>0.18</v>
      </c>
    </row>
    <row r="46" spans="1:8" x14ac:dyDescent="0.2">
      <c r="A46">
        <v>2010</v>
      </c>
      <c r="B46" t="s">
        <v>23</v>
      </c>
      <c r="C46">
        <v>0.18</v>
      </c>
      <c r="D46">
        <v>0.18</v>
      </c>
      <c r="E46">
        <v>0.18</v>
      </c>
      <c r="F46">
        <v>0.18</v>
      </c>
      <c r="G46">
        <v>0.18</v>
      </c>
      <c r="H46">
        <v>0.18</v>
      </c>
    </row>
    <row r="47" spans="1:8" x14ac:dyDescent="0.2">
      <c r="A47">
        <v>2010</v>
      </c>
      <c r="B47" t="s">
        <v>24</v>
      </c>
      <c r="C47">
        <v>0.18</v>
      </c>
      <c r="D47">
        <v>0.18</v>
      </c>
      <c r="E47">
        <v>0.18</v>
      </c>
      <c r="F47">
        <v>0.18</v>
      </c>
      <c r="G47">
        <v>0.18</v>
      </c>
      <c r="H47">
        <v>0.18</v>
      </c>
    </row>
    <row r="48" spans="1:8" x14ac:dyDescent="0.2">
      <c r="A48">
        <v>2010</v>
      </c>
      <c r="B48" t="s">
        <v>189</v>
      </c>
      <c r="C48">
        <v>0.18</v>
      </c>
      <c r="D48">
        <v>0.18</v>
      </c>
      <c r="E48">
        <v>0.18</v>
      </c>
      <c r="F48">
        <v>0.18</v>
      </c>
      <c r="G48">
        <v>0.18</v>
      </c>
      <c r="H48">
        <v>0.18</v>
      </c>
    </row>
    <row r="49" spans="1:8" x14ac:dyDescent="0.2">
      <c r="A49">
        <v>2010</v>
      </c>
      <c r="B49" t="s">
        <v>186</v>
      </c>
      <c r="C49">
        <v>0.18</v>
      </c>
      <c r="D49">
        <v>0.18</v>
      </c>
      <c r="E49">
        <v>0.18</v>
      </c>
      <c r="F49">
        <v>0.18</v>
      </c>
      <c r="G49">
        <v>0.18</v>
      </c>
      <c r="H49">
        <v>0.18</v>
      </c>
    </row>
    <row r="50" spans="1:8" x14ac:dyDescent="0.2">
      <c r="A50">
        <v>2010</v>
      </c>
      <c r="B50" t="s">
        <v>183</v>
      </c>
      <c r="C50">
        <v>0.18</v>
      </c>
      <c r="D50">
        <v>0.18</v>
      </c>
      <c r="E50">
        <v>0.18</v>
      </c>
      <c r="F50">
        <v>0.18</v>
      </c>
      <c r="G50">
        <v>0.18</v>
      </c>
      <c r="H50">
        <v>0.18</v>
      </c>
    </row>
    <row r="51" spans="1:8" x14ac:dyDescent="0.2">
      <c r="A51">
        <v>2010</v>
      </c>
      <c r="B51" t="s">
        <v>180</v>
      </c>
      <c r="C51">
        <v>0.18</v>
      </c>
      <c r="D51">
        <v>0.18</v>
      </c>
      <c r="E51">
        <v>0.18</v>
      </c>
      <c r="F51">
        <v>0.18</v>
      </c>
      <c r="G51">
        <v>0.18</v>
      </c>
      <c r="H51">
        <v>0.18</v>
      </c>
    </row>
    <row r="52" spans="1:8" x14ac:dyDescent="0.2">
      <c r="A52">
        <v>2010</v>
      </c>
      <c r="B52" t="s">
        <v>177</v>
      </c>
      <c r="C52">
        <v>0.18</v>
      </c>
      <c r="D52">
        <v>0.18</v>
      </c>
      <c r="E52">
        <v>0.18</v>
      </c>
      <c r="F52">
        <v>0.18</v>
      </c>
      <c r="G52">
        <v>0.18</v>
      </c>
      <c r="H52">
        <v>0.18</v>
      </c>
    </row>
    <row r="53" spans="1:8" x14ac:dyDescent="0.2">
      <c r="A53">
        <v>2010</v>
      </c>
      <c r="B53" t="s">
        <v>174</v>
      </c>
      <c r="C53">
        <v>0.18</v>
      </c>
      <c r="D53">
        <v>0.18</v>
      </c>
      <c r="E53">
        <v>0.18</v>
      </c>
      <c r="F53">
        <v>0.18</v>
      </c>
      <c r="G53">
        <v>0.18</v>
      </c>
      <c r="H53">
        <v>0.18</v>
      </c>
    </row>
    <row r="54" spans="1:8" x14ac:dyDescent="0.2">
      <c r="A54">
        <v>2020</v>
      </c>
      <c r="B54" t="s">
        <v>226</v>
      </c>
      <c r="C54">
        <v>0.19</v>
      </c>
      <c r="D54">
        <v>0.19</v>
      </c>
      <c r="E54">
        <v>0.19</v>
      </c>
      <c r="F54">
        <v>0.19</v>
      </c>
      <c r="G54">
        <v>0.19</v>
      </c>
      <c r="H54">
        <v>0.19</v>
      </c>
    </row>
    <row r="55" spans="1:8" x14ac:dyDescent="0.2">
      <c r="A55">
        <v>2020</v>
      </c>
      <c r="B55" t="s">
        <v>10</v>
      </c>
      <c r="C55">
        <v>0.19</v>
      </c>
      <c r="D55">
        <v>0.19</v>
      </c>
      <c r="E55">
        <v>0.19</v>
      </c>
      <c r="F55">
        <v>0.19</v>
      </c>
      <c r="G55">
        <v>0.19</v>
      </c>
      <c r="H55">
        <v>0.19</v>
      </c>
    </row>
    <row r="56" spans="1:8" x14ac:dyDescent="0.2">
      <c r="A56">
        <v>2020</v>
      </c>
      <c r="B56" t="s">
        <v>3</v>
      </c>
      <c r="C56">
        <v>0.19</v>
      </c>
      <c r="D56">
        <v>0.19</v>
      </c>
      <c r="E56">
        <v>0.19</v>
      </c>
      <c r="F56">
        <v>0.19</v>
      </c>
      <c r="G56">
        <v>0.19</v>
      </c>
      <c r="H56">
        <v>0.19</v>
      </c>
    </row>
    <row r="57" spans="1:8" x14ac:dyDescent="0.2">
      <c r="A57">
        <v>2020</v>
      </c>
      <c r="B57" t="s">
        <v>11</v>
      </c>
      <c r="C57">
        <v>0.19</v>
      </c>
      <c r="D57">
        <v>0.19</v>
      </c>
      <c r="E57">
        <v>0.19</v>
      </c>
      <c r="F57">
        <v>0.19</v>
      </c>
      <c r="G57">
        <v>0.19</v>
      </c>
      <c r="H57">
        <v>0.19</v>
      </c>
    </row>
    <row r="58" spans="1:8" x14ac:dyDescent="0.2">
      <c r="A58">
        <v>2020</v>
      </c>
      <c r="B58" t="s">
        <v>22</v>
      </c>
      <c r="C58">
        <v>0.19</v>
      </c>
      <c r="D58">
        <v>0.19</v>
      </c>
      <c r="E58">
        <v>0.19</v>
      </c>
      <c r="F58">
        <v>0.19</v>
      </c>
      <c r="G58">
        <v>0.19</v>
      </c>
      <c r="H58">
        <v>0.19</v>
      </c>
    </row>
    <row r="59" spans="1:8" x14ac:dyDescent="0.2">
      <c r="A59">
        <v>2020</v>
      </c>
      <c r="B59" t="s">
        <v>23</v>
      </c>
      <c r="C59">
        <v>0.19</v>
      </c>
      <c r="D59">
        <v>0.19</v>
      </c>
      <c r="E59">
        <v>0.19</v>
      </c>
      <c r="F59">
        <v>0.19</v>
      </c>
      <c r="G59">
        <v>0.19</v>
      </c>
      <c r="H59">
        <v>0.19</v>
      </c>
    </row>
    <row r="60" spans="1:8" x14ac:dyDescent="0.2">
      <c r="A60">
        <v>2020</v>
      </c>
      <c r="B60" t="s">
        <v>24</v>
      </c>
      <c r="C60">
        <v>0.19</v>
      </c>
      <c r="D60">
        <v>0.19</v>
      </c>
      <c r="E60">
        <v>0.19</v>
      </c>
      <c r="F60">
        <v>0.19</v>
      </c>
      <c r="G60">
        <v>0.19</v>
      </c>
      <c r="H60">
        <v>0.19</v>
      </c>
    </row>
    <row r="61" spans="1:8" x14ac:dyDescent="0.2">
      <c r="A61">
        <v>2020</v>
      </c>
      <c r="B61" t="s">
        <v>189</v>
      </c>
      <c r="C61">
        <v>0.19</v>
      </c>
      <c r="D61">
        <v>0.19</v>
      </c>
      <c r="E61">
        <v>0.19</v>
      </c>
      <c r="F61">
        <v>0.19</v>
      </c>
      <c r="G61">
        <v>0.19</v>
      </c>
      <c r="H61">
        <v>0.19</v>
      </c>
    </row>
    <row r="62" spans="1:8" x14ac:dyDescent="0.2">
      <c r="A62">
        <v>2020</v>
      </c>
      <c r="B62" t="s">
        <v>186</v>
      </c>
      <c r="C62">
        <v>0.19</v>
      </c>
      <c r="D62">
        <v>0.19</v>
      </c>
      <c r="E62">
        <v>0.19</v>
      </c>
      <c r="F62">
        <v>0.19</v>
      </c>
      <c r="G62">
        <v>0.19</v>
      </c>
      <c r="H62">
        <v>0.19</v>
      </c>
    </row>
    <row r="63" spans="1:8" x14ac:dyDescent="0.2">
      <c r="A63">
        <v>2020</v>
      </c>
      <c r="B63" t="s">
        <v>183</v>
      </c>
      <c r="C63">
        <v>0.19</v>
      </c>
      <c r="D63">
        <v>0.19</v>
      </c>
      <c r="E63">
        <v>0.19</v>
      </c>
      <c r="F63">
        <v>0.19</v>
      </c>
      <c r="G63">
        <v>0.19</v>
      </c>
      <c r="H63">
        <v>0.19</v>
      </c>
    </row>
    <row r="64" spans="1:8" x14ac:dyDescent="0.2">
      <c r="A64">
        <v>2020</v>
      </c>
      <c r="B64" t="s">
        <v>180</v>
      </c>
      <c r="C64">
        <v>0.19</v>
      </c>
      <c r="D64">
        <v>0.19</v>
      </c>
      <c r="E64">
        <v>0.19</v>
      </c>
      <c r="F64">
        <v>0.19</v>
      </c>
      <c r="G64">
        <v>0.19</v>
      </c>
      <c r="H64">
        <v>0.19</v>
      </c>
    </row>
    <row r="65" spans="1:8" x14ac:dyDescent="0.2">
      <c r="A65">
        <v>2020</v>
      </c>
      <c r="B65" t="s">
        <v>177</v>
      </c>
      <c r="C65">
        <v>0.19</v>
      </c>
      <c r="D65">
        <v>0.19</v>
      </c>
      <c r="E65">
        <v>0.19</v>
      </c>
      <c r="F65">
        <v>0.19</v>
      </c>
      <c r="G65">
        <v>0.19</v>
      </c>
      <c r="H65">
        <v>0.19</v>
      </c>
    </row>
    <row r="66" spans="1:8" x14ac:dyDescent="0.2">
      <c r="A66">
        <v>2020</v>
      </c>
      <c r="B66" t="s">
        <v>174</v>
      </c>
      <c r="C66">
        <v>0.19</v>
      </c>
      <c r="D66">
        <v>0.19</v>
      </c>
      <c r="E66">
        <v>0.19</v>
      </c>
      <c r="F66">
        <v>0.19</v>
      </c>
      <c r="G66">
        <v>0.19</v>
      </c>
      <c r="H66">
        <v>0.19</v>
      </c>
    </row>
    <row r="67" spans="1:8" x14ac:dyDescent="0.2">
      <c r="A67">
        <v>2030</v>
      </c>
      <c r="B67" t="s">
        <v>226</v>
      </c>
      <c r="C67">
        <v>0.2</v>
      </c>
      <c r="D67">
        <v>0.2</v>
      </c>
      <c r="E67">
        <v>0.2</v>
      </c>
      <c r="F67">
        <v>0.2</v>
      </c>
      <c r="G67">
        <v>0.2</v>
      </c>
      <c r="H67">
        <v>0.2</v>
      </c>
    </row>
    <row r="68" spans="1:8" x14ac:dyDescent="0.2">
      <c r="A68">
        <v>2030</v>
      </c>
      <c r="B68" t="s">
        <v>10</v>
      </c>
      <c r="C68">
        <v>0.2</v>
      </c>
      <c r="D68">
        <v>0.2</v>
      </c>
      <c r="E68">
        <v>0.2</v>
      </c>
      <c r="F68">
        <v>0.2</v>
      </c>
      <c r="G68">
        <v>0.2</v>
      </c>
      <c r="H68">
        <v>0.2</v>
      </c>
    </row>
    <row r="69" spans="1:8" x14ac:dyDescent="0.2">
      <c r="A69">
        <v>2030</v>
      </c>
      <c r="B69" t="s">
        <v>3</v>
      </c>
      <c r="C69">
        <v>0.2</v>
      </c>
      <c r="D69">
        <v>0.2</v>
      </c>
      <c r="E69">
        <v>0.2</v>
      </c>
      <c r="F69">
        <v>0.2</v>
      </c>
      <c r="G69">
        <v>0.2</v>
      </c>
      <c r="H69">
        <v>0.2</v>
      </c>
    </row>
    <row r="70" spans="1:8" x14ac:dyDescent="0.2">
      <c r="A70">
        <v>2030</v>
      </c>
      <c r="B70" t="s">
        <v>11</v>
      </c>
      <c r="C70">
        <v>0.2</v>
      </c>
      <c r="D70">
        <v>0.2</v>
      </c>
      <c r="E70">
        <v>0.2</v>
      </c>
      <c r="F70">
        <v>0.2</v>
      </c>
      <c r="G70">
        <v>0.2</v>
      </c>
      <c r="H70">
        <v>0.2</v>
      </c>
    </row>
    <row r="71" spans="1:8" x14ac:dyDescent="0.2">
      <c r="A71">
        <v>2030</v>
      </c>
      <c r="B71" t="s">
        <v>22</v>
      </c>
      <c r="C71">
        <v>0.2</v>
      </c>
      <c r="D71">
        <v>0.2</v>
      </c>
      <c r="E71">
        <v>0.2</v>
      </c>
      <c r="F71">
        <v>0.2</v>
      </c>
      <c r="G71">
        <v>0.2</v>
      </c>
      <c r="H71">
        <v>0.2</v>
      </c>
    </row>
    <row r="72" spans="1:8" x14ac:dyDescent="0.2">
      <c r="A72">
        <v>2030</v>
      </c>
      <c r="B72" t="s">
        <v>23</v>
      </c>
      <c r="C72">
        <v>0.2</v>
      </c>
      <c r="D72">
        <v>0.2</v>
      </c>
      <c r="E72">
        <v>0.2</v>
      </c>
      <c r="F72">
        <v>0.2</v>
      </c>
      <c r="G72">
        <v>0.2</v>
      </c>
      <c r="H72">
        <v>0.2</v>
      </c>
    </row>
    <row r="73" spans="1:8" x14ac:dyDescent="0.2">
      <c r="A73">
        <v>2030</v>
      </c>
      <c r="B73" t="s">
        <v>24</v>
      </c>
      <c r="C73">
        <v>0.2</v>
      </c>
      <c r="D73">
        <v>0.2</v>
      </c>
      <c r="E73">
        <v>0.2</v>
      </c>
      <c r="F73">
        <v>0.2</v>
      </c>
      <c r="G73">
        <v>0.2</v>
      </c>
      <c r="H73">
        <v>0.2</v>
      </c>
    </row>
    <row r="74" spans="1:8" x14ac:dyDescent="0.2">
      <c r="A74">
        <v>2030</v>
      </c>
      <c r="B74" t="s">
        <v>189</v>
      </c>
      <c r="C74">
        <v>0.2</v>
      </c>
      <c r="D74">
        <v>0.2</v>
      </c>
      <c r="E74">
        <v>0.2</v>
      </c>
      <c r="F74">
        <v>0.2</v>
      </c>
      <c r="G74">
        <v>0.2</v>
      </c>
      <c r="H74">
        <v>0.2</v>
      </c>
    </row>
    <row r="75" spans="1:8" x14ac:dyDescent="0.2">
      <c r="A75">
        <v>2030</v>
      </c>
      <c r="B75" t="s">
        <v>186</v>
      </c>
      <c r="C75">
        <v>0.2</v>
      </c>
      <c r="D75">
        <v>0.2</v>
      </c>
      <c r="E75">
        <v>0.2</v>
      </c>
      <c r="F75">
        <v>0.2</v>
      </c>
      <c r="G75">
        <v>0.2</v>
      </c>
      <c r="H75">
        <v>0.2</v>
      </c>
    </row>
    <row r="76" spans="1:8" x14ac:dyDescent="0.2">
      <c r="A76">
        <v>2030</v>
      </c>
      <c r="B76" t="s">
        <v>183</v>
      </c>
      <c r="C76">
        <v>0.2</v>
      </c>
      <c r="D76">
        <v>0.2</v>
      </c>
      <c r="E76">
        <v>0.2</v>
      </c>
      <c r="F76">
        <v>0.2</v>
      </c>
      <c r="G76">
        <v>0.2</v>
      </c>
      <c r="H76">
        <v>0.2</v>
      </c>
    </row>
    <row r="77" spans="1:8" x14ac:dyDescent="0.2">
      <c r="A77">
        <v>2030</v>
      </c>
      <c r="B77" t="s">
        <v>180</v>
      </c>
      <c r="C77">
        <v>0.2</v>
      </c>
      <c r="D77">
        <v>0.2</v>
      </c>
      <c r="E77">
        <v>0.2</v>
      </c>
      <c r="F77">
        <v>0.2</v>
      </c>
      <c r="G77">
        <v>0.2</v>
      </c>
      <c r="H77">
        <v>0.2</v>
      </c>
    </row>
    <row r="78" spans="1:8" x14ac:dyDescent="0.2">
      <c r="A78">
        <v>2030</v>
      </c>
      <c r="B78" t="s">
        <v>177</v>
      </c>
      <c r="C78">
        <v>0.2</v>
      </c>
      <c r="D78">
        <v>0.2</v>
      </c>
      <c r="E78">
        <v>0.2</v>
      </c>
      <c r="F78">
        <v>0.2</v>
      </c>
      <c r="G78">
        <v>0.2</v>
      </c>
      <c r="H78">
        <v>0.2</v>
      </c>
    </row>
    <row r="79" spans="1:8" x14ac:dyDescent="0.2">
      <c r="A79">
        <v>2030</v>
      </c>
      <c r="B79" t="s">
        <v>174</v>
      </c>
      <c r="C79">
        <v>0.2</v>
      </c>
      <c r="D79">
        <v>0.2</v>
      </c>
      <c r="E79">
        <v>0.2</v>
      </c>
      <c r="F79">
        <v>0.2</v>
      </c>
      <c r="G79">
        <v>0.2</v>
      </c>
      <c r="H79">
        <v>0.2</v>
      </c>
    </row>
    <row r="80" spans="1:8" x14ac:dyDescent="0.2">
      <c r="A80">
        <v>2040</v>
      </c>
      <c r="B80" t="s">
        <v>226</v>
      </c>
      <c r="C80">
        <v>0.21</v>
      </c>
      <c r="D80">
        <v>0.21</v>
      </c>
      <c r="E80">
        <v>0.21</v>
      </c>
      <c r="F80">
        <v>0.21</v>
      </c>
      <c r="G80">
        <v>0.21</v>
      </c>
      <c r="H80">
        <v>0.21</v>
      </c>
    </row>
    <row r="81" spans="1:8" x14ac:dyDescent="0.2">
      <c r="A81">
        <v>2040</v>
      </c>
      <c r="B81" t="s">
        <v>10</v>
      </c>
      <c r="C81">
        <v>0.21</v>
      </c>
      <c r="D81">
        <v>0.21</v>
      </c>
      <c r="E81">
        <v>0.21</v>
      </c>
      <c r="F81">
        <v>0.21</v>
      </c>
      <c r="G81">
        <v>0.21</v>
      </c>
      <c r="H81">
        <v>0.21</v>
      </c>
    </row>
    <row r="82" spans="1:8" x14ac:dyDescent="0.2">
      <c r="A82">
        <v>2040</v>
      </c>
      <c r="B82" t="s">
        <v>3</v>
      </c>
      <c r="C82">
        <v>0.21</v>
      </c>
      <c r="D82">
        <v>0.21</v>
      </c>
      <c r="E82">
        <v>0.21</v>
      </c>
      <c r="F82">
        <v>0.21</v>
      </c>
      <c r="G82">
        <v>0.21</v>
      </c>
      <c r="H82">
        <v>0.21</v>
      </c>
    </row>
    <row r="83" spans="1:8" x14ac:dyDescent="0.2">
      <c r="A83">
        <v>2040</v>
      </c>
      <c r="B83" t="s">
        <v>11</v>
      </c>
      <c r="C83">
        <v>0.21</v>
      </c>
      <c r="D83">
        <v>0.21</v>
      </c>
      <c r="E83">
        <v>0.21</v>
      </c>
      <c r="F83">
        <v>0.21</v>
      </c>
      <c r="G83">
        <v>0.21</v>
      </c>
      <c r="H83">
        <v>0.21</v>
      </c>
    </row>
    <row r="84" spans="1:8" x14ac:dyDescent="0.2">
      <c r="A84">
        <v>2040</v>
      </c>
      <c r="B84" t="s">
        <v>22</v>
      </c>
      <c r="C84">
        <v>0.21</v>
      </c>
      <c r="D84">
        <v>0.21</v>
      </c>
      <c r="E84">
        <v>0.21</v>
      </c>
      <c r="F84">
        <v>0.21</v>
      </c>
      <c r="G84">
        <v>0.21</v>
      </c>
      <c r="H84">
        <v>0.21</v>
      </c>
    </row>
    <row r="85" spans="1:8" x14ac:dyDescent="0.2">
      <c r="A85">
        <v>2040</v>
      </c>
      <c r="B85" t="s">
        <v>23</v>
      </c>
      <c r="C85">
        <v>0.21</v>
      </c>
      <c r="D85">
        <v>0.21</v>
      </c>
      <c r="E85">
        <v>0.21</v>
      </c>
      <c r="F85">
        <v>0.21</v>
      </c>
      <c r="G85">
        <v>0.21</v>
      </c>
      <c r="H85">
        <v>0.21</v>
      </c>
    </row>
    <row r="86" spans="1:8" x14ac:dyDescent="0.2">
      <c r="A86">
        <v>2040</v>
      </c>
      <c r="B86" t="s">
        <v>24</v>
      </c>
      <c r="C86">
        <v>0.21</v>
      </c>
      <c r="D86">
        <v>0.21</v>
      </c>
      <c r="E86">
        <v>0.21</v>
      </c>
      <c r="F86">
        <v>0.21</v>
      </c>
      <c r="G86">
        <v>0.21</v>
      </c>
      <c r="H86">
        <v>0.21</v>
      </c>
    </row>
    <row r="87" spans="1:8" x14ac:dyDescent="0.2">
      <c r="A87">
        <v>2040</v>
      </c>
      <c r="B87" t="s">
        <v>189</v>
      </c>
      <c r="C87">
        <v>0.21</v>
      </c>
      <c r="D87">
        <v>0.21</v>
      </c>
      <c r="E87">
        <v>0.21</v>
      </c>
      <c r="F87">
        <v>0.21</v>
      </c>
      <c r="G87">
        <v>0.21</v>
      </c>
      <c r="H87">
        <v>0.21</v>
      </c>
    </row>
    <row r="88" spans="1:8" x14ac:dyDescent="0.2">
      <c r="A88">
        <v>2040</v>
      </c>
      <c r="B88" t="s">
        <v>186</v>
      </c>
      <c r="C88">
        <v>0.21</v>
      </c>
      <c r="D88">
        <v>0.21</v>
      </c>
      <c r="E88">
        <v>0.21</v>
      </c>
      <c r="F88">
        <v>0.21</v>
      </c>
      <c r="G88">
        <v>0.21</v>
      </c>
      <c r="H88">
        <v>0.21</v>
      </c>
    </row>
    <row r="89" spans="1:8" x14ac:dyDescent="0.2">
      <c r="A89">
        <v>2040</v>
      </c>
      <c r="B89" t="s">
        <v>183</v>
      </c>
      <c r="C89">
        <v>0.21</v>
      </c>
      <c r="D89">
        <v>0.21</v>
      </c>
      <c r="E89">
        <v>0.21</v>
      </c>
      <c r="F89">
        <v>0.21</v>
      </c>
      <c r="G89">
        <v>0.21</v>
      </c>
      <c r="H89">
        <v>0.21</v>
      </c>
    </row>
    <row r="90" spans="1:8" x14ac:dyDescent="0.2">
      <c r="A90">
        <v>2040</v>
      </c>
      <c r="B90" t="s">
        <v>180</v>
      </c>
      <c r="C90">
        <v>0.21</v>
      </c>
      <c r="D90">
        <v>0.21</v>
      </c>
      <c r="E90">
        <v>0.21</v>
      </c>
      <c r="F90">
        <v>0.21</v>
      </c>
      <c r="G90">
        <v>0.21</v>
      </c>
      <c r="H90">
        <v>0.21</v>
      </c>
    </row>
    <row r="91" spans="1:8" x14ac:dyDescent="0.2">
      <c r="A91">
        <v>2040</v>
      </c>
      <c r="B91" t="s">
        <v>177</v>
      </c>
      <c r="C91">
        <v>0.21</v>
      </c>
      <c r="D91">
        <v>0.21</v>
      </c>
      <c r="E91">
        <v>0.21</v>
      </c>
      <c r="F91">
        <v>0.21</v>
      </c>
      <c r="G91">
        <v>0.21</v>
      </c>
      <c r="H91">
        <v>0.21</v>
      </c>
    </row>
    <row r="92" spans="1:8" x14ac:dyDescent="0.2">
      <c r="A92">
        <v>2040</v>
      </c>
      <c r="B92" t="s">
        <v>174</v>
      </c>
      <c r="C92">
        <v>0.21</v>
      </c>
      <c r="D92">
        <v>0.21</v>
      </c>
      <c r="E92">
        <v>0.21</v>
      </c>
      <c r="F92">
        <v>0.21</v>
      </c>
      <c r="G92">
        <v>0.21</v>
      </c>
      <c r="H92">
        <v>0.21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4"/>
  <sheetViews>
    <sheetView zoomScale="265" zoomScaleNormal="265" workbookViewId="0">
      <selection activeCell="I17" sqref="I17"/>
    </sheetView>
  </sheetViews>
  <sheetFormatPr baseColWidth="10" defaultRowHeight="16" x14ac:dyDescent="0.2"/>
  <sheetData>
    <row r="1" spans="1:8" x14ac:dyDescent="0.2">
      <c r="A1" s="7" t="s">
        <v>243</v>
      </c>
      <c r="B1" s="7" t="s">
        <v>244</v>
      </c>
      <c r="C1" s="7" t="s">
        <v>245</v>
      </c>
      <c r="D1" s="7" t="s">
        <v>246</v>
      </c>
      <c r="E1" s="7" t="s">
        <v>247</v>
      </c>
      <c r="F1" s="7" t="s">
        <v>248</v>
      </c>
      <c r="G1" s="7" t="s">
        <v>192</v>
      </c>
      <c r="H1" s="7" t="s">
        <v>5</v>
      </c>
    </row>
    <row r="2" spans="1:8" x14ac:dyDescent="0.2">
      <c r="A2">
        <v>1500</v>
      </c>
      <c r="B2">
        <v>1500</v>
      </c>
      <c r="C2">
        <v>1900</v>
      </c>
      <c r="D2">
        <v>1600</v>
      </c>
      <c r="E2">
        <v>1700</v>
      </c>
      <c r="F2">
        <v>1500</v>
      </c>
      <c r="G2" t="s">
        <v>226</v>
      </c>
      <c r="H2">
        <v>2025</v>
      </c>
    </row>
    <row r="3" spans="1:8" x14ac:dyDescent="0.2">
      <c r="A3">
        <v>900</v>
      </c>
      <c r="B3">
        <v>900</v>
      </c>
      <c r="C3">
        <v>1500</v>
      </c>
      <c r="D3">
        <v>1100</v>
      </c>
      <c r="E3">
        <v>1200</v>
      </c>
      <c r="F3">
        <v>1000</v>
      </c>
      <c r="G3" t="s">
        <v>10</v>
      </c>
      <c r="H3">
        <v>2025</v>
      </c>
    </row>
    <row r="4" spans="1:8" x14ac:dyDescent="0.2">
      <c r="A4">
        <v>1150</v>
      </c>
      <c r="B4">
        <v>1150</v>
      </c>
      <c r="C4">
        <v>1750</v>
      </c>
      <c r="D4">
        <v>1300</v>
      </c>
      <c r="E4">
        <v>1400</v>
      </c>
      <c r="F4">
        <v>1200</v>
      </c>
      <c r="G4" t="s">
        <v>3</v>
      </c>
      <c r="H4">
        <v>2025</v>
      </c>
    </row>
    <row r="5" spans="1:8" x14ac:dyDescent="0.2">
      <c r="A5">
        <v>1350</v>
      </c>
      <c r="B5">
        <v>1350</v>
      </c>
      <c r="C5">
        <v>1800</v>
      </c>
      <c r="D5">
        <v>1500</v>
      </c>
      <c r="E5">
        <v>1575</v>
      </c>
      <c r="F5">
        <v>1400</v>
      </c>
      <c r="G5" t="s">
        <v>11</v>
      </c>
      <c r="H5">
        <v>2025</v>
      </c>
    </row>
    <row r="6" spans="1:8" x14ac:dyDescent="0.2">
      <c r="A6">
        <v>1600</v>
      </c>
      <c r="B6">
        <v>1600</v>
      </c>
      <c r="C6">
        <v>2000</v>
      </c>
      <c r="D6">
        <v>1700</v>
      </c>
      <c r="E6">
        <v>1750</v>
      </c>
      <c r="F6">
        <v>1650</v>
      </c>
      <c r="G6" t="s">
        <v>22</v>
      </c>
      <c r="H6">
        <v>2025</v>
      </c>
    </row>
    <row r="7" spans="1:8" x14ac:dyDescent="0.2">
      <c r="A7">
        <v>1800</v>
      </c>
      <c r="B7">
        <v>1800</v>
      </c>
      <c r="C7">
        <v>2200</v>
      </c>
      <c r="D7">
        <v>2000</v>
      </c>
      <c r="E7">
        <v>2050</v>
      </c>
      <c r="F7">
        <v>1900</v>
      </c>
      <c r="G7" t="s">
        <v>23</v>
      </c>
      <c r="H7">
        <v>2025</v>
      </c>
    </row>
    <row r="8" spans="1:8" x14ac:dyDescent="0.2">
      <c r="A8">
        <v>2150</v>
      </c>
      <c r="B8">
        <v>2150</v>
      </c>
      <c r="C8">
        <v>2400</v>
      </c>
      <c r="D8">
        <v>2300</v>
      </c>
      <c r="E8">
        <v>2350</v>
      </c>
      <c r="F8">
        <v>2200</v>
      </c>
      <c r="G8" t="s">
        <v>24</v>
      </c>
      <c r="H8">
        <v>2025</v>
      </c>
    </row>
    <row r="9" spans="1:8" x14ac:dyDescent="0.2">
      <c r="A9">
        <v>1080</v>
      </c>
      <c r="B9">
        <v>1080</v>
      </c>
      <c r="C9">
        <v>1600</v>
      </c>
      <c r="D9">
        <v>1300</v>
      </c>
      <c r="E9">
        <v>1350</v>
      </c>
      <c r="F9">
        <v>1200</v>
      </c>
      <c r="G9" t="s">
        <v>189</v>
      </c>
      <c r="H9">
        <v>2025</v>
      </c>
    </row>
    <row r="10" spans="1:8" x14ac:dyDescent="0.2">
      <c r="A10">
        <v>1380</v>
      </c>
      <c r="B10">
        <v>1380</v>
      </c>
      <c r="C10">
        <v>1850</v>
      </c>
      <c r="D10">
        <v>1500</v>
      </c>
      <c r="E10">
        <v>1575</v>
      </c>
      <c r="F10">
        <v>1400</v>
      </c>
      <c r="G10" t="s">
        <v>186</v>
      </c>
      <c r="H10">
        <v>2025</v>
      </c>
    </row>
    <row r="11" spans="1:8" x14ac:dyDescent="0.2">
      <c r="A11">
        <v>1620</v>
      </c>
      <c r="B11">
        <v>1620</v>
      </c>
      <c r="C11">
        <v>1950</v>
      </c>
      <c r="D11">
        <v>1700</v>
      </c>
      <c r="E11">
        <v>1775</v>
      </c>
      <c r="F11">
        <v>1600</v>
      </c>
      <c r="G11" t="s">
        <v>183</v>
      </c>
      <c r="H11">
        <v>2025</v>
      </c>
    </row>
    <row r="12" spans="1:8" x14ac:dyDescent="0.2">
      <c r="A12">
        <v>1920</v>
      </c>
      <c r="B12">
        <v>1920</v>
      </c>
      <c r="C12">
        <v>2100</v>
      </c>
      <c r="D12">
        <v>2000</v>
      </c>
      <c r="E12">
        <v>2050</v>
      </c>
      <c r="F12">
        <v>1900</v>
      </c>
      <c r="G12" t="s">
        <v>180</v>
      </c>
      <c r="H12">
        <v>2025</v>
      </c>
    </row>
    <row r="13" spans="1:8" x14ac:dyDescent="0.2">
      <c r="A13">
        <v>2160</v>
      </c>
      <c r="B13">
        <v>2160</v>
      </c>
      <c r="C13">
        <v>2600</v>
      </c>
      <c r="D13">
        <v>2300</v>
      </c>
      <c r="E13">
        <v>2450</v>
      </c>
      <c r="F13">
        <v>2200</v>
      </c>
      <c r="G13" t="s">
        <v>177</v>
      </c>
      <c r="H13">
        <v>2025</v>
      </c>
    </row>
    <row r="14" spans="1:8" x14ac:dyDescent="0.2">
      <c r="A14">
        <v>2580</v>
      </c>
      <c r="B14">
        <v>2580</v>
      </c>
      <c r="C14">
        <v>2900</v>
      </c>
      <c r="D14">
        <v>2600</v>
      </c>
      <c r="E14">
        <v>2750</v>
      </c>
      <c r="F14">
        <v>2500</v>
      </c>
      <c r="G14" t="s">
        <v>174</v>
      </c>
      <c r="H14">
        <v>2025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40</vt:i4>
      </vt:variant>
    </vt:vector>
  </HeadingPairs>
  <TitlesOfParts>
    <vt:vector size="40" baseType="lpstr">
      <vt:lpstr>Car_Avg_MaterialContent_1</vt:lpstr>
      <vt:lpstr>Car_Avg_MaterialContent_2</vt:lpstr>
      <vt:lpstr>CarProduction_SizeSegment</vt:lpstr>
      <vt:lpstr>CarProduction_ClassSegment</vt:lpstr>
      <vt:lpstr>CarProduction_BodyType</vt:lpstr>
      <vt:lpstr>ProductKeys</vt:lpstr>
      <vt:lpstr>steel_content_1</vt:lpstr>
      <vt:lpstr>steel_content_2</vt:lpstr>
      <vt:lpstr>steel_content_3</vt:lpstr>
      <vt:lpstr>steel_content_4</vt:lpstr>
      <vt:lpstr>aluminum_content_1</vt:lpstr>
      <vt:lpstr>aluminum_content_2</vt:lpstr>
      <vt:lpstr>aluminum_content_3</vt:lpstr>
      <vt:lpstr>aluminum_content_4</vt:lpstr>
      <vt:lpstr>aluminum_content_5</vt:lpstr>
      <vt:lpstr>aluminum_content_6</vt:lpstr>
      <vt:lpstr>aluminum_content_7</vt:lpstr>
      <vt:lpstr>aluminum_component_1</vt:lpstr>
      <vt:lpstr>aluminum_component_2</vt:lpstr>
      <vt:lpstr>aluminum_component_3</vt:lpstr>
      <vt:lpstr>aluminum_component_parts_1</vt:lpstr>
      <vt:lpstr>avg_material_comntent</vt:lpstr>
      <vt:lpstr>catalyst_China_1</vt:lpstr>
      <vt:lpstr>catalyst_converter_1</vt:lpstr>
      <vt:lpstr>catalyst_converter_2</vt:lpstr>
      <vt:lpstr>catalyst_converter_3</vt:lpstr>
      <vt:lpstr>EED_weight</vt:lpstr>
      <vt:lpstr>EED_composition</vt:lpstr>
      <vt:lpstr>EEC_ICEV</vt:lpstr>
      <vt:lpstr>EEC_BEV</vt:lpstr>
      <vt:lpstr>EEC_HEV</vt:lpstr>
      <vt:lpstr>EEC_PHEV</vt:lpstr>
      <vt:lpstr>SUVEffect</vt:lpstr>
      <vt:lpstr>BEV</vt:lpstr>
      <vt:lpstr>HEV</vt:lpstr>
      <vt:lpstr>magnesium_content</vt:lpstr>
      <vt:lpstr>Battery</vt:lpstr>
      <vt:lpstr>BatteryFactor</vt:lpstr>
      <vt:lpstr>Rest</vt:lpstr>
      <vt:lpstr>totalWeight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Rösslein, Matthias</cp:lastModifiedBy>
  <dcterms:modified xsi:type="dcterms:W3CDTF">2025-09-03T13:12:44Z</dcterms:modified>
</cp:coreProperties>
</file>